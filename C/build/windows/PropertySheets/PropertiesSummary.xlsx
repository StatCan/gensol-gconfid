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TFS\Banff_dev\Banff\PropertySheets\"/>
    </mc:Choice>
  </mc:AlternateContent>
  <xr:revisionPtr revIDLastSave="0" documentId="13_ncr:1_{CD4388A7-F699-4285-83E6-E2597E961C9C}" xr6:coauthVersionLast="47" xr6:coauthVersionMax="47" xr10:uidLastSave="{00000000-0000-0000-0000-000000000000}"/>
  <bookViews>
    <workbookView xWindow="1170" yWindow="1170" windowWidth="21600" windowHeight="11505" firstSheet="1" activeTab="1" xr2:uid="{00000000-000D-0000-FFFF-FFFF00000000}"/>
  </bookViews>
  <sheets>
    <sheet name="Read me" sheetId="4" r:id="rId1"/>
    <sheet name="Matrix of associations" sheetId="2" r:id="rId2"/>
    <sheet name="Summary of Property Sheets" sheetId="3" r:id="rId3"/>
    <sheet name="ReferenceData" sheetId="1" r:id="rId4"/>
  </sheets>
  <calcPr calcId="191029"/>
  <pivotCaches>
    <pivotCache cacheId="1" r:id="rId5"/>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E2" i="1"/>
  <c r="G2" i="1" s="1"/>
  <c r="E3" i="1"/>
  <c r="G3" i="1" s="1"/>
  <c r="E4" i="1"/>
  <c r="G4" i="1" s="1"/>
  <c r="E5" i="1"/>
  <c r="G5" i="1" s="1"/>
  <c r="E6" i="1"/>
  <c r="G6" i="1" s="1"/>
  <c r="E7" i="1"/>
  <c r="G7" i="1" s="1"/>
  <c r="E8" i="1"/>
  <c r="G8" i="1" s="1"/>
  <c r="E9" i="1"/>
  <c r="G9" i="1" s="1"/>
  <c r="E10" i="1"/>
  <c r="G10" i="1" s="1"/>
  <c r="E11" i="1"/>
  <c r="G11" i="1" s="1"/>
  <c r="E12" i="1"/>
  <c r="G12" i="1" s="1"/>
  <c r="E13" i="1"/>
  <c r="G13" i="1" s="1"/>
  <c r="E14" i="1"/>
  <c r="G14" i="1" s="1"/>
  <c r="E15" i="1"/>
  <c r="G15" i="1" s="1"/>
  <c r="E16" i="1"/>
  <c r="G16" i="1" s="1"/>
  <c r="E17" i="1"/>
  <c r="G17" i="1" s="1"/>
  <c r="E18" i="1"/>
  <c r="G18" i="1" s="1"/>
  <c r="E19" i="1"/>
  <c r="G19" i="1" s="1"/>
  <c r="E20" i="1"/>
  <c r="G20" i="1" s="1"/>
  <c r="E21" i="1"/>
  <c r="G21" i="1" s="1"/>
  <c r="E22" i="1"/>
  <c r="G22" i="1" s="1"/>
  <c r="E23" i="1"/>
  <c r="G23" i="1" s="1"/>
  <c r="E24" i="1"/>
  <c r="G24" i="1" s="1"/>
  <c r="E25" i="1"/>
  <c r="G25" i="1" s="1"/>
  <c r="E26" i="1"/>
  <c r="G26" i="1" s="1"/>
  <c r="E27" i="1"/>
  <c r="G27" i="1" s="1"/>
  <c r="E28" i="1"/>
  <c r="G28" i="1" s="1"/>
  <c r="E29" i="1"/>
  <c r="G29" i="1" s="1"/>
  <c r="E30" i="1"/>
  <c r="G30" i="1" s="1"/>
  <c r="E31" i="1"/>
  <c r="G31" i="1" s="1"/>
  <c r="E32" i="1"/>
  <c r="G32" i="1" s="1"/>
  <c r="E33" i="1"/>
  <c r="G33" i="1" s="1"/>
  <c r="E34" i="1"/>
  <c r="G34" i="1" s="1"/>
  <c r="E35" i="1"/>
  <c r="G35" i="1" s="1"/>
  <c r="E36" i="1"/>
  <c r="G36" i="1" s="1"/>
  <c r="E37" i="1"/>
  <c r="G37" i="1" s="1"/>
  <c r="E38" i="1"/>
  <c r="G38" i="1" s="1"/>
  <c r="E39" i="1"/>
  <c r="G39" i="1" s="1"/>
  <c r="E40" i="1"/>
  <c r="G40" i="1" s="1"/>
  <c r="E41" i="1"/>
  <c r="G41" i="1" s="1"/>
  <c r="E42" i="1"/>
  <c r="G42" i="1" s="1"/>
  <c r="E43" i="1"/>
  <c r="G43" i="1" s="1"/>
  <c r="E44" i="1"/>
  <c r="G44" i="1" s="1"/>
  <c r="E45" i="1"/>
  <c r="G45" i="1" s="1"/>
  <c r="E46" i="1"/>
  <c r="G46" i="1" s="1"/>
  <c r="E47" i="1"/>
  <c r="G47" i="1" s="1"/>
  <c r="E48" i="1"/>
  <c r="G48" i="1" s="1"/>
  <c r="E49" i="1"/>
  <c r="G49" i="1" s="1"/>
  <c r="E50" i="1"/>
  <c r="G50" i="1" s="1"/>
  <c r="E51" i="1"/>
  <c r="G51" i="1" s="1"/>
  <c r="E52" i="1"/>
  <c r="G52" i="1" s="1"/>
  <c r="E53" i="1"/>
  <c r="G53" i="1" s="1"/>
  <c r="E54" i="1"/>
  <c r="G54" i="1" s="1"/>
  <c r="E55" i="1"/>
  <c r="G55" i="1" s="1"/>
  <c r="E56" i="1"/>
  <c r="G56" i="1" s="1"/>
  <c r="E57" i="1"/>
  <c r="G57" i="1" s="1"/>
  <c r="E58" i="1"/>
  <c r="G58" i="1" s="1"/>
  <c r="E59" i="1"/>
  <c r="G59" i="1" s="1"/>
  <c r="E60" i="1"/>
  <c r="G60" i="1" s="1"/>
  <c r="E61" i="1"/>
  <c r="G61" i="1" s="1"/>
  <c r="E62" i="1"/>
  <c r="G62" i="1" s="1"/>
  <c r="E63" i="1"/>
  <c r="G63" i="1" s="1"/>
  <c r="E64" i="1"/>
  <c r="G64" i="1" s="1"/>
  <c r="E65" i="1"/>
  <c r="G65" i="1" s="1"/>
  <c r="E66" i="1"/>
  <c r="G66" i="1" s="1"/>
  <c r="E67" i="1"/>
  <c r="G67" i="1" s="1"/>
  <c r="E68" i="1"/>
  <c r="G68" i="1" s="1"/>
  <c r="E69" i="1"/>
  <c r="G69" i="1" s="1"/>
  <c r="E70" i="1"/>
  <c r="G70" i="1" s="1"/>
  <c r="E71" i="1"/>
  <c r="G71" i="1" s="1"/>
  <c r="E72" i="1"/>
  <c r="G72" i="1" s="1"/>
  <c r="E73" i="1"/>
  <c r="G73" i="1" s="1"/>
  <c r="E74" i="1"/>
  <c r="G74" i="1" s="1"/>
  <c r="E75" i="1"/>
  <c r="G75" i="1" s="1"/>
  <c r="E76" i="1"/>
  <c r="G76" i="1" s="1"/>
  <c r="E77" i="1"/>
  <c r="G77" i="1" s="1"/>
  <c r="E78" i="1"/>
  <c r="G78" i="1" s="1"/>
  <c r="E79" i="1"/>
  <c r="G79" i="1" s="1"/>
  <c r="E80" i="1"/>
  <c r="G80" i="1" s="1"/>
  <c r="E81" i="1"/>
  <c r="G81" i="1" s="1"/>
  <c r="E82" i="1"/>
  <c r="G82" i="1" s="1"/>
  <c r="E83" i="1"/>
  <c r="G83" i="1" s="1"/>
  <c r="E84" i="1"/>
  <c r="G84" i="1" s="1"/>
  <c r="E85" i="1"/>
  <c r="G85" i="1" s="1"/>
  <c r="E86" i="1"/>
  <c r="G86" i="1" s="1"/>
  <c r="E87" i="1"/>
  <c r="G87" i="1" s="1"/>
  <c r="E88" i="1"/>
  <c r="G88" i="1" s="1"/>
  <c r="E89" i="1"/>
  <c r="G89" i="1" s="1"/>
  <c r="E90" i="1"/>
  <c r="G90" i="1" s="1"/>
  <c r="E91" i="1"/>
  <c r="G91" i="1" s="1"/>
  <c r="E92" i="1"/>
  <c r="G92" i="1" s="1"/>
  <c r="E93" i="1"/>
  <c r="G93" i="1" s="1"/>
  <c r="E94" i="1"/>
  <c r="G94" i="1" s="1"/>
  <c r="E95" i="1"/>
  <c r="G95" i="1" s="1"/>
  <c r="E96" i="1"/>
  <c r="G96" i="1" s="1"/>
  <c r="E97" i="1"/>
  <c r="G97" i="1" s="1"/>
  <c r="E98" i="1"/>
  <c r="G98" i="1" s="1"/>
  <c r="E99" i="1"/>
  <c r="G99" i="1" s="1"/>
  <c r="E100" i="1"/>
  <c r="G100" i="1" s="1"/>
  <c r="E101" i="1"/>
  <c r="G101" i="1" s="1"/>
  <c r="E102" i="1"/>
  <c r="G102" i="1" s="1"/>
  <c r="E103" i="1"/>
  <c r="G103" i="1" s="1"/>
  <c r="E104" i="1"/>
  <c r="G104" i="1" s="1"/>
  <c r="E105" i="1"/>
  <c r="G105" i="1" s="1"/>
  <c r="E106" i="1"/>
  <c r="G106" i="1" s="1"/>
  <c r="E107" i="1"/>
  <c r="G107" i="1" s="1"/>
  <c r="E108" i="1"/>
  <c r="G108" i="1" s="1"/>
  <c r="E109" i="1"/>
  <c r="G109" i="1" s="1"/>
  <c r="E110" i="1"/>
  <c r="G110" i="1" s="1"/>
  <c r="E111" i="1"/>
  <c r="G111" i="1" s="1"/>
  <c r="E112" i="1"/>
  <c r="G112" i="1" s="1"/>
  <c r="E113" i="1"/>
  <c r="G113" i="1" s="1"/>
  <c r="E114" i="1"/>
  <c r="G114" i="1" s="1"/>
  <c r="E115" i="1"/>
  <c r="G115" i="1" s="1"/>
  <c r="E116" i="1"/>
  <c r="G116" i="1" s="1"/>
  <c r="E117" i="1"/>
  <c r="G117" i="1" s="1"/>
  <c r="E118" i="1"/>
  <c r="G118" i="1" s="1"/>
  <c r="E119" i="1"/>
  <c r="G119" i="1" s="1"/>
  <c r="E120" i="1"/>
  <c r="G120" i="1" s="1"/>
  <c r="E121" i="1"/>
  <c r="G121" i="1" s="1"/>
  <c r="E122" i="1"/>
  <c r="G122" i="1" s="1"/>
  <c r="E123" i="1"/>
  <c r="G123" i="1" s="1"/>
  <c r="E124" i="1"/>
  <c r="G124" i="1" s="1"/>
  <c r="E125" i="1"/>
  <c r="G125" i="1" s="1"/>
  <c r="E126" i="1"/>
  <c r="G126" i="1" s="1"/>
  <c r="E127" i="1"/>
  <c r="G127" i="1" s="1"/>
  <c r="E128" i="1"/>
  <c r="G128" i="1" s="1"/>
  <c r="E129" i="1"/>
  <c r="G129" i="1" s="1"/>
  <c r="E130" i="1"/>
  <c r="G130" i="1" s="1"/>
  <c r="E131" i="1"/>
  <c r="G131" i="1" s="1"/>
  <c r="E132" i="1"/>
  <c r="G132" i="1" s="1"/>
  <c r="E133" i="1"/>
  <c r="G133" i="1" s="1"/>
  <c r="E134" i="1"/>
  <c r="G134" i="1" s="1"/>
  <c r="E135" i="1"/>
  <c r="G135" i="1" s="1"/>
  <c r="E136" i="1"/>
  <c r="G136" i="1" s="1"/>
  <c r="E137" i="1"/>
  <c r="G137" i="1" s="1"/>
  <c r="E138" i="1"/>
  <c r="G138" i="1" s="1"/>
  <c r="E139" i="1"/>
  <c r="G139" i="1" s="1"/>
  <c r="E140" i="1"/>
  <c r="G140" i="1" s="1"/>
  <c r="E141" i="1"/>
  <c r="G141" i="1" s="1"/>
  <c r="E142" i="1"/>
  <c r="G142" i="1" s="1"/>
  <c r="E143" i="1"/>
  <c r="G143" i="1" s="1"/>
  <c r="E144" i="1"/>
  <c r="G144" i="1" s="1"/>
  <c r="E145" i="1"/>
  <c r="G145" i="1" s="1"/>
  <c r="E146" i="1"/>
  <c r="G146" i="1" s="1"/>
  <c r="E147" i="1"/>
  <c r="G147" i="1" s="1"/>
  <c r="E148" i="1"/>
  <c r="G148" i="1" s="1"/>
  <c r="E149" i="1"/>
  <c r="G149" i="1" s="1"/>
  <c r="E150" i="1"/>
  <c r="G150" i="1" s="1"/>
  <c r="E151" i="1"/>
  <c r="G151" i="1" s="1"/>
  <c r="E152" i="1"/>
  <c r="G152" i="1" s="1"/>
  <c r="E153" i="1"/>
  <c r="G153" i="1" s="1"/>
  <c r="E154" i="1"/>
  <c r="G154" i="1" s="1"/>
  <c r="E155" i="1"/>
  <c r="G155" i="1" s="1"/>
  <c r="E156" i="1"/>
  <c r="G156" i="1" s="1"/>
  <c r="E157" i="1"/>
  <c r="G157" i="1" s="1"/>
  <c r="E158" i="1"/>
  <c r="G158" i="1" s="1"/>
  <c r="E159" i="1"/>
  <c r="G159" i="1" s="1"/>
  <c r="E160" i="1"/>
  <c r="G160" i="1" s="1"/>
  <c r="E161" i="1"/>
  <c r="G161" i="1" s="1"/>
  <c r="E162" i="1"/>
  <c r="G162" i="1" s="1"/>
  <c r="E163" i="1"/>
  <c r="G163" i="1" s="1"/>
  <c r="E164" i="1"/>
  <c r="G164" i="1" s="1"/>
  <c r="E165" i="1"/>
  <c r="G165" i="1" s="1"/>
  <c r="E166" i="1"/>
  <c r="G166" i="1" s="1"/>
  <c r="E167" i="1"/>
  <c r="G167" i="1" s="1"/>
  <c r="E168" i="1"/>
  <c r="G168" i="1" s="1"/>
  <c r="E169" i="1"/>
  <c r="G169" i="1" s="1"/>
  <c r="E170" i="1"/>
  <c r="G170" i="1" s="1"/>
  <c r="E171" i="1"/>
  <c r="G171" i="1" s="1"/>
  <c r="E172" i="1"/>
  <c r="G172" i="1" s="1"/>
  <c r="E173" i="1"/>
  <c r="G173" i="1" s="1"/>
  <c r="E174" i="1"/>
  <c r="G174" i="1" s="1"/>
  <c r="E175" i="1"/>
  <c r="G175" i="1" s="1"/>
  <c r="E176" i="1"/>
  <c r="G176" i="1" s="1"/>
  <c r="E177" i="1"/>
  <c r="G177" i="1" s="1"/>
  <c r="E178" i="1"/>
  <c r="G178" i="1" s="1"/>
  <c r="E179" i="1"/>
  <c r="G179" i="1" s="1"/>
  <c r="E180" i="1"/>
  <c r="G180" i="1" s="1"/>
  <c r="E181" i="1"/>
  <c r="G181" i="1" s="1"/>
  <c r="E182" i="1"/>
  <c r="G182" i="1" s="1"/>
  <c r="E183" i="1"/>
  <c r="G183" i="1" s="1"/>
  <c r="E184" i="1"/>
  <c r="G184" i="1" s="1"/>
  <c r="E185" i="1"/>
  <c r="G185" i="1" s="1"/>
  <c r="E186" i="1"/>
  <c r="G186" i="1" s="1"/>
  <c r="E187" i="1"/>
  <c r="G187" i="1" s="1"/>
  <c r="E188" i="1"/>
  <c r="G188" i="1" s="1"/>
  <c r="E189" i="1"/>
  <c r="G189" i="1" s="1"/>
  <c r="E190" i="1"/>
  <c r="G190" i="1" s="1"/>
  <c r="E191" i="1"/>
  <c r="G191" i="1" s="1"/>
  <c r="E192" i="1"/>
  <c r="G192" i="1" s="1"/>
  <c r="E193" i="1"/>
  <c r="G193" i="1" s="1"/>
  <c r="E194" i="1"/>
  <c r="G194" i="1" s="1"/>
  <c r="E195" i="1"/>
  <c r="G195" i="1" s="1"/>
  <c r="E196" i="1"/>
  <c r="G196" i="1" s="1"/>
  <c r="E197" i="1"/>
  <c r="G197" i="1" s="1"/>
  <c r="E198" i="1"/>
  <c r="G198" i="1" s="1"/>
  <c r="E199" i="1"/>
  <c r="G199" i="1" s="1"/>
  <c r="E200" i="1"/>
  <c r="G200" i="1" s="1"/>
  <c r="E201" i="1"/>
  <c r="G201" i="1" s="1"/>
  <c r="E202" i="1"/>
  <c r="G202" i="1" s="1"/>
  <c r="E203" i="1"/>
  <c r="G203" i="1" s="1"/>
  <c r="E204" i="1"/>
  <c r="G204" i="1" s="1"/>
  <c r="E205" i="1"/>
  <c r="G205" i="1" s="1"/>
  <c r="E206" i="1"/>
  <c r="G206" i="1" s="1"/>
  <c r="E207" i="1"/>
  <c r="G207" i="1" s="1"/>
  <c r="E208" i="1"/>
  <c r="G208" i="1" s="1"/>
  <c r="E209" i="1"/>
  <c r="G209" i="1" s="1"/>
  <c r="E210" i="1"/>
  <c r="G210" i="1" s="1"/>
  <c r="E211" i="1"/>
  <c r="G211" i="1" s="1"/>
  <c r="E212" i="1"/>
  <c r="G212" i="1" s="1"/>
  <c r="E213" i="1"/>
  <c r="G213" i="1" s="1"/>
  <c r="E214" i="1"/>
  <c r="G214" i="1" s="1"/>
  <c r="E215" i="1"/>
  <c r="G215" i="1" s="1"/>
  <c r="E216" i="1"/>
  <c r="G216" i="1" s="1"/>
  <c r="E217" i="1"/>
  <c r="G217" i="1" s="1"/>
  <c r="E218" i="1"/>
  <c r="G218" i="1" s="1"/>
  <c r="E219" i="1"/>
  <c r="G219" i="1" s="1"/>
  <c r="E220" i="1"/>
  <c r="G220" i="1" s="1"/>
  <c r="E221" i="1"/>
  <c r="G221" i="1" s="1"/>
  <c r="E222" i="1"/>
  <c r="G222" i="1" s="1"/>
  <c r="E223" i="1"/>
  <c r="G223" i="1" s="1"/>
  <c r="E224" i="1"/>
  <c r="G224" i="1" s="1"/>
  <c r="E225" i="1"/>
  <c r="G225" i="1" s="1"/>
  <c r="E226" i="1"/>
  <c r="G226" i="1" s="1"/>
  <c r="E227" i="1"/>
  <c r="G227" i="1" s="1"/>
  <c r="H214" i="1" l="1"/>
  <c r="H202" i="1"/>
  <c r="H190" i="1"/>
  <c r="H178" i="1"/>
  <c r="H166" i="1"/>
  <c r="H154" i="1"/>
  <c r="H134" i="1"/>
  <c r="H122" i="1"/>
  <c r="H106" i="1"/>
  <c r="H90" i="1"/>
  <c r="H70" i="1"/>
  <c r="H58" i="1"/>
  <c r="H46" i="1"/>
  <c r="H34" i="1"/>
  <c r="H30" i="1"/>
  <c r="H18" i="1"/>
  <c r="H14" i="1"/>
  <c r="H2" i="1"/>
  <c r="H225" i="1"/>
  <c r="H221" i="1"/>
  <c r="H217" i="1"/>
  <c r="H213" i="1"/>
  <c r="H209" i="1"/>
  <c r="H205" i="1"/>
  <c r="H201" i="1"/>
  <c r="H197" i="1"/>
  <c r="H193" i="1"/>
  <c r="H189" i="1"/>
  <c r="H185" i="1"/>
  <c r="H181" i="1"/>
  <c r="H177" i="1"/>
  <c r="H173" i="1"/>
  <c r="H169" i="1"/>
  <c r="H165" i="1"/>
  <c r="H161" i="1"/>
  <c r="H157" i="1"/>
  <c r="H153" i="1"/>
  <c r="H149" i="1"/>
  <c r="H145" i="1"/>
  <c r="H141" i="1"/>
  <c r="H137" i="1"/>
  <c r="H133" i="1"/>
  <c r="H129" i="1"/>
  <c r="H125" i="1"/>
  <c r="H121" i="1"/>
  <c r="H117" i="1"/>
  <c r="H113" i="1"/>
  <c r="H109" i="1"/>
  <c r="H105" i="1"/>
  <c r="H101" i="1"/>
  <c r="H97" i="1"/>
  <c r="H93" i="1"/>
  <c r="H89" i="1"/>
  <c r="H85" i="1"/>
  <c r="H81" i="1"/>
  <c r="H77" i="1"/>
  <c r="H73" i="1"/>
  <c r="H69" i="1"/>
  <c r="H65" i="1"/>
  <c r="H61" i="1"/>
  <c r="H57" i="1"/>
  <c r="H53" i="1"/>
  <c r="H49" i="1"/>
  <c r="H45" i="1"/>
  <c r="H41" i="1"/>
  <c r="H37" i="1"/>
  <c r="H33" i="1"/>
  <c r="H29" i="1"/>
  <c r="H25" i="1"/>
  <c r="H21" i="1"/>
  <c r="H17" i="1"/>
  <c r="H13" i="1"/>
  <c r="H9" i="1"/>
  <c r="H5" i="1"/>
  <c r="H226" i="1"/>
  <c r="H218" i="1"/>
  <c r="H206" i="1"/>
  <c r="H194" i="1"/>
  <c r="H186" i="1"/>
  <c r="H174" i="1"/>
  <c r="H162" i="1"/>
  <c r="H146" i="1"/>
  <c r="H138" i="1"/>
  <c r="H130" i="1"/>
  <c r="H118" i="1"/>
  <c r="H110" i="1"/>
  <c r="H98" i="1"/>
  <c r="H86" i="1"/>
  <c r="H78" i="1"/>
  <c r="H62" i="1"/>
  <c r="H50" i="1"/>
  <c r="H38" i="1"/>
  <c r="H22" i="1"/>
  <c r="H10" i="1"/>
  <c r="H224" i="1"/>
  <c r="H220" i="1"/>
  <c r="H216" i="1"/>
  <c r="H212" i="1"/>
  <c r="H208" i="1"/>
  <c r="H204" i="1"/>
  <c r="H200" i="1"/>
  <c r="H196" i="1"/>
  <c r="H192" i="1"/>
  <c r="H188" i="1"/>
  <c r="H184" i="1"/>
  <c r="H180" i="1"/>
  <c r="H176" i="1"/>
  <c r="H172" i="1"/>
  <c r="H168" i="1"/>
  <c r="H164" i="1"/>
  <c r="H160" i="1"/>
  <c r="H156" i="1"/>
  <c r="H152" i="1"/>
  <c r="H148" i="1"/>
  <c r="H144" i="1"/>
  <c r="H140" i="1"/>
  <c r="H136" i="1"/>
  <c r="H132" i="1"/>
  <c r="H128" i="1"/>
  <c r="H124" i="1"/>
  <c r="H120" i="1"/>
  <c r="H116" i="1"/>
  <c r="H112" i="1"/>
  <c r="H108" i="1"/>
  <c r="H104" i="1"/>
  <c r="H100" i="1"/>
  <c r="H96" i="1"/>
  <c r="H92" i="1"/>
  <c r="H88" i="1"/>
  <c r="H84" i="1"/>
  <c r="H80" i="1"/>
  <c r="H76" i="1"/>
  <c r="H72" i="1"/>
  <c r="H68" i="1"/>
  <c r="H64" i="1"/>
  <c r="H60" i="1"/>
  <c r="H56" i="1"/>
  <c r="H52" i="1"/>
  <c r="H48" i="1"/>
  <c r="H44" i="1"/>
  <c r="H40" i="1"/>
  <c r="H36" i="1"/>
  <c r="H32" i="1"/>
  <c r="H28" i="1"/>
  <c r="H24" i="1"/>
  <c r="H20" i="1"/>
  <c r="H16" i="1"/>
  <c r="H12" i="1"/>
  <c r="H8" i="1"/>
  <c r="H4" i="1"/>
  <c r="H222" i="1"/>
  <c r="H210" i="1"/>
  <c r="H198" i="1"/>
  <c r="H182" i="1"/>
  <c r="H170" i="1"/>
  <c r="H158" i="1"/>
  <c r="H150" i="1"/>
  <c r="H142" i="1"/>
  <c r="H126" i="1"/>
  <c r="H114" i="1"/>
  <c r="H102" i="1"/>
  <c r="H94" i="1"/>
  <c r="H82" i="1"/>
  <c r="H74" i="1"/>
  <c r="H66" i="1"/>
  <c r="H54" i="1"/>
  <c r="H42" i="1"/>
  <c r="H26" i="1"/>
  <c r="H6" i="1"/>
  <c r="H227" i="1"/>
  <c r="H223" i="1"/>
  <c r="H219" i="1"/>
  <c r="H215" i="1"/>
  <c r="H211" i="1"/>
  <c r="H207" i="1"/>
  <c r="H203" i="1"/>
  <c r="H199" i="1"/>
  <c r="H195" i="1"/>
  <c r="H191" i="1"/>
  <c r="H187" i="1"/>
  <c r="H183" i="1"/>
  <c r="H179" i="1"/>
  <c r="H175" i="1"/>
  <c r="H171" i="1"/>
  <c r="H167" i="1"/>
  <c r="H163" i="1"/>
  <c r="H159" i="1"/>
  <c r="H155" i="1"/>
  <c r="H151" i="1"/>
  <c r="H147" i="1"/>
  <c r="H143" i="1"/>
  <c r="H139" i="1"/>
  <c r="H135" i="1"/>
  <c r="H131" i="1"/>
  <c r="H127" i="1"/>
  <c r="H123" i="1"/>
  <c r="H119" i="1"/>
  <c r="H115" i="1"/>
  <c r="H111" i="1"/>
  <c r="H107" i="1"/>
  <c r="H103" i="1"/>
  <c r="H99" i="1"/>
  <c r="H95" i="1"/>
  <c r="H91" i="1"/>
  <c r="H87" i="1"/>
  <c r="H83" i="1"/>
  <c r="H79" i="1"/>
  <c r="H75" i="1"/>
  <c r="H71" i="1"/>
  <c r="H67" i="1"/>
  <c r="H63" i="1"/>
  <c r="H59" i="1"/>
  <c r="H55" i="1"/>
  <c r="H51" i="1"/>
  <c r="H47" i="1"/>
  <c r="H43" i="1"/>
  <c r="H39" i="1"/>
  <c r="H35" i="1"/>
  <c r="H31" i="1"/>
  <c r="H27" i="1"/>
  <c r="H23" i="1"/>
  <c r="H19" i="1"/>
  <c r="H15" i="1"/>
  <c r="H11" i="1"/>
  <c r="H7" i="1"/>
  <c r="H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foo" type="4" refreshedVersion="0" background="1">
    <webPr xml="1" sourceData="1" url="C:\Users\arsstev\AppData\Local\Temp\foo.xml" htmlTables="1" htmlFormat="all"/>
  </connection>
</connections>
</file>

<file path=xl/sharedStrings.xml><?xml version="1.0" encoding="utf-8"?>
<sst xmlns="http://schemas.openxmlformats.org/spreadsheetml/2006/main" count="776" uniqueCount="83">
  <si>
    <t>DefaultTargets</t>
  </si>
  <si>
    <t>ToolsVersion</t>
  </si>
  <si>
    <t>target</t>
  </si>
  <si>
    <t>Project</t>
  </si>
  <si>
    <t>Build</t>
  </si>
  <si>
    <t>Debug|Win32</t>
  </si>
  <si>
    <t>STCE|Win32</t>
  </si>
  <si>
    <t>STCEM5|Win32</t>
  </si>
  <si>
    <t>EXTEM5|Win32</t>
  </si>
  <si>
    <t>STCF|Win32</t>
  </si>
  <si>
    <t>STCFM5|Win32</t>
  </si>
  <si>
    <t>Debug|x64</t>
  </si>
  <si>
    <t>STCE|x64</t>
  </si>
  <si>
    <t>STCEM5|x64</t>
  </si>
  <si>
    <t>EXTEM5|x64</t>
  </si>
  <si>
    <t>STCF|x64</t>
  </si>
  <si>
    <t>STCFM5|x64</t>
  </si>
  <si>
    <t>DebugM5|x64</t>
  </si>
  <si>
    <t>DebugM5|Win32</t>
  </si>
  <si>
    <t>EXTFM5|x64</t>
  </si>
  <si>
    <t>EXTFM5|Win32</t>
  </si>
  <si>
    <t>EXTF|x64</t>
  </si>
  <si>
    <t>EXTE|x64</t>
  </si>
  <si>
    <t>EXTE|Win32</t>
  </si>
  <si>
    <t>EXTF|Win32</t>
  </si>
  <si>
    <t>StcLanguageEnglish.props</t>
  </si>
  <si>
    <t>SasToolkitLinkCommon.props</t>
  </si>
  <si>
    <t>SasToolkitLinkLEQm4.props</t>
  </si>
  <si>
    <t>SasToolkitLinkGEQm5.props</t>
  </si>
  <si>
    <t>StcLanguageFrench.props</t>
  </si>
  <si>
    <t>Row Labels</t>
  </si>
  <si>
    <t>Grand Total</t>
  </si>
  <si>
    <t>Column Labels</t>
  </si>
  <si>
    <t>Count of ToolsVersion</t>
  </si>
  <si>
    <t>Universal</t>
  </si>
  <si>
    <t>Debug/Release
(STC/EXT)</t>
  </si>
  <si>
    <t>SAS Toolkit (x86/x64) (LEQm4/GEQm5)</t>
  </si>
  <si>
    <t>Language</t>
  </si>
  <si>
    <t>config</t>
  </si>
  <si>
    <t>platform</t>
  </si>
  <si>
    <t>Mlevel</t>
  </si>
  <si>
    <t>Debug</t>
  </si>
  <si>
    <t>EXTE</t>
  </si>
  <si>
    <t>EXTF</t>
  </si>
  <si>
    <t>STCE</t>
  </si>
  <si>
    <t>STCF</t>
  </si>
  <si>
    <t>Win32</t>
  </si>
  <si>
    <t>x64</t>
  </si>
  <si>
    <t>LEQm4</t>
  </si>
  <si>
    <t>GEQm5</t>
  </si>
  <si>
    <t>config_base</t>
  </si>
  <si>
    <t>Any compile or link setting shared among all DEBUG configurations
Example: preprocessor definition _DEBUG</t>
  </si>
  <si>
    <r>
      <t xml:space="preserve">Defines the following macros: 
</t>
    </r>
    <r>
      <rPr>
        <sz val="11"/>
        <color theme="1"/>
        <rFont val="Courier New"/>
        <family val="3"/>
      </rPr>
      <t xml:space="preserve">$(VS_CL6464_PATH)   </t>
    </r>
    <r>
      <rPr>
        <sz val="11"/>
        <color theme="1"/>
        <rFont val="Calibri Light"/>
        <family val="2"/>
        <scheme val="major"/>
      </rPr>
      <t>path to folder with hostX64 targetX64 cl.exe</t>
    </r>
    <r>
      <rPr>
        <sz val="11"/>
        <color theme="1"/>
        <rFont val="Courier New"/>
        <family val="3"/>
      </rPr>
      <t xml:space="preserve">
$(VS_CL6486_PATH)   </t>
    </r>
    <r>
      <rPr>
        <sz val="11"/>
        <color theme="1"/>
        <rFont val="Calibri Light"/>
        <family val="2"/>
        <scheme val="major"/>
      </rPr>
      <t>path to folder with hostX64 targetX86 (cross compile) cl.exe</t>
    </r>
    <r>
      <rPr>
        <sz val="11"/>
        <color theme="1"/>
        <rFont val="Courier New"/>
        <family val="3"/>
      </rPr>
      <t xml:space="preserve">
$(VS_GS_DIR)        </t>
    </r>
    <r>
      <rPr>
        <sz val="11"/>
        <color theme="1"/>
        <rFont val="Calibri Light"/>
        <family val="2"/>
        <scheme val="major"/>
      </rPr>
      <t>Path to folder which contains GrammarCompilation dir</t>
    </r>
    <r>
      <rPr>
        <sz val="11"/>
        <color theme="1"/>
        <rFont val="Courier New"/>
        <family val="3"/>
      </rPr>
      <t xml:space="preserve">
$(VS_CONFIG_NAME)   </t>
    </r>
    <r>
      <rPr>
        <sz val="11"/>
        <color theme="1"/>
        <rFont val="Calibri Light"/>
        <family val="2"/>
        <scheme val="major"/>
      </rPr>
      <t>Name of configuration - value from $(Configuration)</t>
    </r>
    <r>
      <rPr>
        <sz val="11"/>
        <color theme="1"/>
        <rFont val="Courier New"/>
        <family val="3"/>
      </rPr>
      <t xml:space="preserve">
$(target_bit)       </t>
    </r>
    <r>
      <rPr>
        <sz val="11"/>
        <color theme="1"/>
        <rFont val="Calibri Light"/>
        <family val="2"/>
        <scheme val="major"/>
      </rPr>
      <t>[64|32] - value from $(PlatformArchitecture)</t>
    </r>
    <r>
      <rPr>
        <sz val="11"/>
        <color theme="1"/>
        <rFont val="Courier New"/>
        <family val="3"/>
      </rPr>
      <t xml:space="preserve">
$(VS_PLATFORM_NAME) </t>
    </r>
    <r>
      <rPr>
        <sz val="11"/>
        <color theme="1"/>
        <rFont val="Calibri Light"/>
        <family val="2"/>
        <scheme val="major"/>
      </rPr>
      <t xml:space="preserve">[x64|Win32] - value from $(Platform)
</t>
    </r>
    <r>
      <rPr>
        <sz val="11"/>
        <color theme="1"/>
        <rFont val="Calibri"/>
        <family val="2"/>
        <scheme val="minor"/>
      </rPr>
      <t>These are defined as environment variables which the Cross Compile Script requires</t>
    </r>
  </si>
  <si>
    <r>
      <t xml:space="preserve">Any SAS/Toolkit setting from </t>
    </r>
    <r>
      <rPr>
        <i/>
        <sz val="11"/>
        <color theme="1"/>
        <rFont val="Calibri"/>
        <family val="2"/>
        <scheme val="minor"/>
      </rPr>
      <t>Configuration Options &gt; Linker</t>
    </r>
    <r>
      <rPr>
        <sz val="11"/>
        <color theme="1"/>
        <rFont val="Calibri"/>
        <family val="2"/>
        <scheme val="minor"/>
      </rPr>
      <t xml:space="preserve"> which is commong among all configurations (regardless of SAS maintenance level)
Example: list of </t>
    </r>
    <r>
      <rPr>
        <i/>
        <sz val="11"/>
        <color theme="1"/>
        <rFont val="Calibri"/>
        <family val="2"/>
        <scheme val="minor"/>
      </rPr>
      <t>IgnoreSpecificDefaultLibraries</t>
    </r>
  </si>
  <si>
    <t>Path to SAS/Toolkit .h (header) files from toolkit compatible with 9.4 M5 or later</t>
  </si>
  <si>
    <t>Path to lib/obj (binary) files from toolkit compatible with 9.4 M4 or earlier</t>
  </si>
  <si>
    <r>
      <t xml:space="preserve">Defines the following macros: </t>
    </r>
    <r>
      <rPr>
        <sz val="11"/>
        <color theme="1"/>
        <rFont val="Courier New"/>
        <family val="3"/>
      </rPr>
      <t>$(BanffVersion)</t>
    </r>
    <r>
      <rPr>
        <sz val="11"/>
        <color theme="1"/>
        <rFont val="Calibri"/>
        <family val="2"/>
        <scheme val="minor"/>
      </rPr>
      <t xml:space="preserve">, </t>
    </r>
    <r>
      <rPr>
        <sz val="11"/>
        <color theme="1"/>
        <rFont val="Courier New"/>
        <family val="3"/>
      </rPr>
      <t>$(ProcVersion)</t>
    </r>
    <r>
      <rPr>
        <sz val="11"/>
        <color theme="1"/>
        <rFont val="Calibri"/>
        <family val="2"/>
        <scheme val="minor"/>
      </rPr>
      <t xml:space="preserve">, </t>
    </r>
    <r>
      <rPr>
        <sz val="11"/>
        <color theme="1"/>
        <rFont val="Courier New"/>
        <family val="3"/>
      </rPr>
      <t>$(BanffExports)</t>
    </r>
    <r>
      <rPr>
        <sz val="11"/>
        <color theme="1"/>
        <rFont val="Calibri"/>
        <family val="2"/>
        <scheme val="minor"/>
      </rPr>
      <t xml:space="preserve">
Used to dynamically insert the version into source at build time</t>
    </r>
  </si>
  <si>
    <r>
      <t xml:space="preserve">Any setting from </t>
    </r>
    <r>
      <rPr>
        <i/>
        <sz val="11"/>
        <color theme="1"/>
        <rFont val="Calibri"/>
        <family val="2"/>
        <scheme val="minor"/>
      </rPr>
      <t xml:space="preserve">Configuration Options &gt; C/C++ </t>
    </r>
    <r>
      <rPr>
        <sz val="11"/>
        <color theme="1"/>
        <rFont val="Calibri"/>
        <family val="2"/>
        <scheme val="minor"/>
      </rPr>
      <t xml:space="preserve">(compiler settings) which are shared among all procedures
Example: </t>
    </r>
    <r>
      <rPr>
        <i/>
        <sz val="11"/>
        <color theme="1"/>
        <rFont val="Calibri"/>
        <family val="2"/>
        <scheme val="minor"/>
      </rPr>
      <t>CompileAsC</t>
    </r>
    <r>
      <rPr>
        <sz val="11"/>
        <color theme="1"/>
        <rFont val="Calibri"/>
        <family val="2"/>
        <scheme val="minor"/>
      </rPr>
      <t xml:space="preserve">, most Preprocessor definitions
Depends on the following variables: </t>
    </r>
    <r>
      <rPr>
        <sz val="11"/>
        <color theme="1"/>
        <rFont val="Courier New"/>
        <family val="3"/>
      </rPr>
      <t>$(STC_Lang_2c)</t>
    </r>
    <r>
      <rPr>
        <sz val="11"/>
        <color theme="1"/>
        <rFont val="Calibri"/>
        <family val="2"/>
        <scheme val="minor"/>
      </rPr>
      <t xml:space="preserve">, </t>
    </r>
    <r>
      <rPr>
        <sz val="11"/>
        <color theme="1"/>
        <rFont val="Courier New"/>
        <family val="3"/>
      </rPr>
      <t>$(BanffVersion)</t>
    </r>
    <r>
      <rPr>
        <sz val="11"/>
        <color theme="1"/>
        <rFont val="Calibri"/>
        <family val="2"/>
        <scheme val="minor"/>
      </rPr>
      <t xml:space="preserve">, </t>
    </r>
    <r>
      <rPr>
        <sz val="11"/>
        <color theme="1"/>
        <rFont val="Courier New"/>
        <family val="3"/>
      </rPr>
      <t>$(ProcVersion)</t>
    </r>
  </si>
  <si>
    <r>
      <t xml:space="preserve">Any settings from </t>
    </r>
    <r>
      <rPr>
        <i/>
        <sz val="11"/>
        <color theme="1"/>
        <rFont val="Calibri"/>
        <family val="2"/>
        <scheme val="minor"/>
      </rPr>
      <t>Configuration Options &gt; Linker</t>
    </r>
    <r>
      <rPr>
        <sz val="11"/>
        <color theme="1"/>
        <rFont val="Calibri"/>
        <family val="2"/>
        <scheme val="minor"/>
      </rPr>
      <t xml:space="preserve"> (linker settings) which are shared among all procedures
Example: AdditionalOptions: </t>
    </r>
    <r>
      <rPr>
        <i/>
        <sz val="11"/>
        <color theme="1"/>
        <rFont val="Calibri"/>
        <family val="2"/>
        <scheme val="minor"/>
      </rPr>
      <t>-export:mcn_main</t>
    </r>
    <r>
      <rPr>
        <sz val="11"/>
        <color theme="1"/>
        <rFont val="Calibri"/>
        <family val="2"/>
        <scheme val="minor"/>
      </rPr>
      <t xml:space="preserve">, ImageHasSafeExceptionHandlers, library names
Depends on the following user macros </t>
    </r>
    <r>
      <rPr>
        <sz val="11"/>
        <color theme="1"/>
        <rFont val="Courier New"/>
        <family val="3"/>
      </rPr>
      <t>$(STC_M5_Suffix)</t>
    </r>
  </si>
  <si>
    <r>
      <t xml:space="preserve">Any compile or link setting shared among all RELEASE configurations.  
Example: DebugInformationFormat: </t>
    </r>
    <r>
      <rPr>
        <i/>
        <sz val="11"/>
        <color theme="1"/>
        <rFont val="Calibri"/>
        <family val="2"/>
        <scheme val="minor"/>
      </rPr>
      <t>NONE</t>
    </r>
    <r>
      <rPr>
        <sz val="11"/>
        <color theme="1"/>
        <rFont val="Calibri"/>
        <family val="2"/>
        <scheme val="minor"/>
      </rPr>
      <t xml:space="preserve">, additional library directories
Depends on the following user macros: </t>
    </r>
    <r>
      <rPr>
        <sz val="11"/>
        <color theme="1"/>
        <rFont val="Courier New"/>
        <family val="3"/>
      </rPr>
      <t>$(STC_Release_Type)</t>
    </r>
    <r>
      <rPr>
        <sz val="11"/>
        <color theme="1"/>
        <rFont val="Calibri"/>
        <family val="2"/>
        <scheme val="minor"/>
      </rPr>
      <t xml:space="preserve">, </t>
    </r>
    <r>
      <rPr>
        <sz val="11"/>
        <color theme="1"/>
        <rFont val="Courier New"/>
        <family val="3"/>
      </rPr>
      <t>$(STC_Lang_1c)</t>
    </r>
    <r>
      <rPr>
        <sz val="11"/>
        <color theme="1"/>
        <rFont val="Calibri"/>
        <family val="2"/>
        <scheme val="minor"/>
      </rPr>
      <t xml:space="preserve">, </t>
    </r>
    <r>
      <rPr>
        <sz val="11"/>
        <color theme="1"/>
        <rFont val="Courier New"/>
        <family val="3"/>
      </rPr>
      <t>$(STC_Lang_2c)</t>
    </r>
  </si>
  <si>
    <r>
      <t xml:space="preserve">Settings specifically for external clients
Example: preprocessor definition STC_LOGGING_DISABLED excludes any curl logging code from builds
Defines the following user macro: </t>
    </r>
    <r>
      <rPr>
        <sz val="11"/>
        <color theme="1"/>
        <rFont val="Courier New"/>
        <family val="3"/>
      </rPr>
      <t>$(STC_Release_Type) = EXT</t>
    </r>
  </si>
  <si>
    <r>
      <t xml:space="preserve">Setings specifically for internal clients (there are none)
Defines the following user macro: </t>
    </r>
    <r>
      <rPr>
        <sz val="11"/>
        <color theme="1"/>
        <rFont val="Courier New"/>
        <family val="3"/>
      </rPr>
      <t>$(STC_Release_Type) = STC</t>
    </r>
  </si>
  <si>
    <r>
      <t xml:space="preserve">Defines user macro: </t>
    </r>
    <r>
      <rPr>
        <sz val="11"/>
        <color theme="1"/>
        <rFont val="Courier New"/>
        <family val="3"/>
      </rPr>
      <t>$(STC_M5_Suffix) = M5</t>
    </r>
    <r>
      <rPr>
        <sz val="11"/>
        <color theme="1"/>
        <rFont val="Calibri"/>
        <family val="2"/>
        <scheme val="minor"/>
      </rPr>
      <t xml:space="preserve">
Note that when this is left undefined it resolves to blank</t>
    </r>
  </si>
  <si>
    <r>
      <t xml:space="preserve">Path to lib/obj (binary) files from toolkit compatible with 9.4 M5 or later
Depends on user macro: </t>
    </r>
    <r>
      <rPr>
        <sz val="11"/>
        <color theme="1"/>
        <rFont val="Courier New"/>
        <family val="3"/>
      </rPr>
      <t>$(STC_Toolkit_obj)</t>
    </r>
    <r>
      <rPr>
        <sz val="11"/>
        <color theme="1"/>
        <rFont val="Calibri"/>
        <family val="2"/>
        <scheme val="minor"/>
      </rPr>
      <t xml:space="preserve"> which defines names either the 64-bit or 32-bit folder</t>
    </r>
  </si>
  <si>
    <r>
      <t xml:space="preserve">Path to lib/obj (binary) files from toolkit compatible with 9.4 M4 or earlier
Depends on user macro: </t>
    </r>
    <r>
      <rPr>
        <sz val="11"/>
        <color theme="1"/>
        <rFont val="Courier New"/>
        <family val="3"/>
      </rPr>
      <t>$(STC_Toolkit_obj)</t>
    </r>
    <r>
      <rPr>
        <sz val="11"/>
        <color theme="1"/>
        <rFont val="Calibri"/>
        <family val="2"/>
        <scheme val="minor"/>
      </rPr>
      <t xml:space="preserve"> which defines names either the 64-bit or 32-bit folder</t>
    </r>
  </si>
  <si>
    <r>
      <t xml:space="preserve">Defines user macro </t>
    </r>
    <r>
      <rPr>
        <sz val="11"/>
        <color theme="1"/>
        <rFont val="Courier New"/>
        <family val="3"/>
      </rPr>
      <t>$(STC_Toolkit_obj) = obj</t>
    </r>
  </si>
  <si>
    <r>
      <t xml:space="preserve">Defines user macro </t>
    </r>
    <r>
      <rPr>
        <sz val="11"/>
        <color theme="1"/>
        <rFont val="Courier New"/>
        <family val="3"/>
      </rPr>
      <t>$(STC_Toolkit_obj) = objwx6</t>
    </r>
  </si>
  <si>
    <r>
      <t xml:space="preserve">Defines user macros: </t>
    </r>
    <r>
      <rPr>
        <sz val="11"/>
        <color theme="1"/>
        <rFont val="Courier New"/>
        <family val="3"/>
      </rPr>
      <t>$(STC_Lang_2c) = en</t>
    </r>
    <r>
      <rPr>
        <sz val="11"/>
        <color theme="1"/>
        <rFont val="Calibri"/>
        <family val="2"/>
        <scheme val="minor"/>
      </rPr>
      <t xml:space="preserve">, </t>
    </r>
    <r>
      <rPr>
        <sz val="11"/>
        <color theme="1"/>
        <rFont val="Courier New"/>
        <family val="3"/>
      </rPr>
      <t>$(STC_Lang_1c) = E</t>
    </r>
  </si>
  <si>
    <r>
      <t xml:space="preserve">Defines user macros: </t>
    </r>
    <r>
      <rPr>
        <sz val="11"/>
        <color theme="1"/>
        <rFont val="Courier New"/>
        <family val="3"/>
      </rPr>
      <t>$(STC_Lang_2c) = fr</t>
    </r>
    <r>
      <rPr>
        <sz val="11"/>
        <color theme="1"/>
        <rFont val="Calibri"/>
        <family val="2"/>
        <scheme val="minor"/>
      </rPr>
      <t xml:space="preserve">, </t>
    </r>
    <r>
      <rPr>
        <sz val="11"/>
        <color theme="1"/>
        <rFont val="Courier New"/>
        <family val="3"/>
      </rPr>
      <t>$(STC_Lang_1c) = F</t>
    </r>
  </si>
  <si>
    <r>
      <t xml:space="preserve">This workbook intends to provide an overview of how Property Sheets have been employed to manage settings for the many configurations of the Banff Procedures.  
In the </t>
    </r>
    <r>
      <rPr>
        <i/>
        <u/>
        <sz val="11"/>
        <color theme="1"/>
        <rFont val="Calibri"/>
        <family val="2"/>
        <scheme val="minor"/>
      </rPr>
      <t>Matrix of associations</t>
    </r>
    <r>
      <rPr>
        <sz val="11"/>
        <color theme="1"/>
        <rFont val="Calibri"/>
        <family val="2"/>
        <scheme val="minor"/>
      </rPr>
      <t xml:space="preserve"> tab each of the Banff configurations is broken down on the left side.  A column exists for each property sheet.  A 1 represents association of the property sheet with the configuration.  This demonstrates the patterns of how various sheets (and thus configuration options) are applied to make each configuration unique.  
Highlighting has been applied to show SAS Toolkit property sheets which specifically handle the intricacy introduced with the 9.4 M5 toolkit changes.  
In the </t>
    </r>
    <r>
      <rPr>
        <i/>
        <u/>
        <sz val="11"/>
        <color theme="1"/>
        <rFont val="Calibri"/>
        <family val="2"/>
        <scheme val="minor"/>
      </rPr>
      <t>Summary of Property Sheets</t>
    </r>
    <r>
      <rPr>
        <sz val="11"/>
        <color theme="1"/>
        <rFont val="Calibri"/>
        <family val="2"/>
        <scheme val="minor"/>
      </rPr>
      <t xml:space="preserve"> tab is a short description of the contents of each property sheet.  </t>
    </r>
  </si>
  <si>
    <t>SasToolkitCompileGEQm5.props</t>
  </si>
  <si>
    <t>SasToolkitCompileLEQm4.props</t>
  </si>
  <si>
    <t>SasToolkitCustomBuild.props</t>
  </si>
  <si>
    <t>SasToolkitX64Common.props</t>
  </si>
  <si>
    <t>SasToolkitX86Common.props</t>
  </si>
  <si>
    <t>StcProcCompileCommon.props</t>
  </si>
  <si>
    <t>StcProcDebugCommon.props</t>
  </si>
  <si>
    <t>StcProcGEQm5.props</t>
  </si>
  <si>
    <t>StcProcLinkCommon.props</t>
  </si>
  <si>
    <t>StcProcReleaseCommon.props</t>
  </si>
  <si>
    <t>StcProcReleaseEXT.props</t>
  </si>
  <si>
    <t>StcProcReleaseSTC.props</t>
  </si>
  <si>
    <t>StcProcVersionInfo.props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</si>
</sst>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ourier New"/>
      <family val="3"/>
    </font>
    <font>
      <sz val="11"/>
      <name val="Calibri"/>
      <family val="2"/>
      <scheme val="minor"/>
    </font>
    <font>
      <i/>
      <sz val="11"/>
      <color theme="1"/>
      <name val="Calibri"/>
      <family val="2"/>
      <scheme val="minor"/>
    </font>
    <font>
      <i/>
      <sz val="11"/>
      <name val="Calibri"/>
      <family val="2"/>
      <scheme val="minor"/>
    </font>
    <font>
      <sz val="11"/>
      <color theme="1"/>
      <name val="Calibri Light"/>
      <family val="2"/>
      <scheme val="major"/>
    </font>
    <font>
      <i/>
      <u/>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8" tint="0.39997558519241921"/>
        <bgColor indexed="64"/>
      </patternFill>
    </fill>
  </fills>
  <borders count="15">
    <border>
      <left/>
      <right/>
      <top/>
      <bottom/>
      <diagonal/>
    </border>
    <border>
      <left style="thin">
        <color theme="5" tint="-0.24994659260841701"/>
      </left>
      <right style="thin">
        <color theme="5" tint="-0.24994659260841701"/>
      </right>
      <top/>
      <bottom/>
      <diagonal/>
    </border>
    <border>
      <left style="thin">
        <color theme="5" tint="-0.24994659260841701"/>
      </left>
      <right/>
      <top/>
      <bottom/>
      <diagonal/>
    </border>
    <border>
      <left/>
      <right style="thin">
        <color theme="5" tint="-0.2499465926084170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4">
    <xf numFmtId="0" fontId="0" fillId="0" borderId="0" xfId="0"/>
    <xf numFmtId="49" fontId="0" fillId="0" borderId="0" xfId="0" applyNumberFormat="1"/>
    <xf numFmtId="0" fontId="0" fillId="0" borderId="0" xfId="0" pivotButton="1"/>
    <xf numFmtId="0" fontId="0" fillId="0" borderId="0" xfId="0" applyAlignment="1">
      <alignment textRotation="90"/>
    </xf>
    <xf numFmtId="0" fontId="0" fillId="0" borderId="0" xfId="0" applyNumberFormat="1"/>
    <xf numFmtId="0" fontId="0" fillId="2" borderId="0" xfId="0" applyFill="1" applyAlignment="1">
      <alignment horizontal="left"/>
    </xf>
    <xf numFmtId="0" fontId="2" fillId="0" borderId="0" xfId="0" applyFont="1" applyFill="1"/>
    <xf numFmtId="0" fontId="2" fillId="0" borderId="0" xfId="0" applyFont="1" applyFill="1" applyBorder="1"/>
    <xf numFmtId="0" fontId="0" fillId="0" borderId="0" xfId="0" applyFill="1"/>
    <xf numFmtId="0" fontId="0" fillId="0" borderId="0" xfId="0" applyFill="1" applyBorder="1"/>
    <xf numFmtId="0" fontId="0" fillId="0" borderId="0" xfId="0" applyFill="1" applyAlignment="1">
      <alignment textRotation="90"/>
    </xf>
    <xf numFmtId="0" fontId="0" fillId="0" borderId="12" xfId="0" applyBorder="1" applyAlignment="1">
      <alignment textRotation="90"/>
    </xf>
    <xf numFmtId="0" fontId="0" fillId="0" borderId="13" xfId="0" applyBorder="1" applyAlignment="1">
      <alignment textRotation="90"/>
    </xf>
    <xf numFmtId="0" fontId="0" fillId="0" borderId="14" xfId="0" applyBorder="1" applyAlignment="1">
      <alignment textRotation="90"/>
    </xf>
    <xf numFmtId="0" fontId="0" fillId="0" borderId="13" xfId="0" applyFill="1" applyBorder="1" applyAlignment="1">
      <alignment textRotation="90"/>
    </xf>
    <xf numFmtId="0" fontId="0" fillId="0" borderId="14" xfId="0" applyFill="1" applyBorder="1" applyAlignment="1">
      <alignment textRotation="90"/>
    </xf>
    <xf numFmtId="0" fontId="0" fillId="0" borderId="0" xfId="0" applyAlignment="1">
      <alignment wrapText="1"/>
    </xf>
    <xf numFmtId="0" fontId="0" fillId="0" borderId="0" xfId="0" applyFill="1" applyAlignment="1">
      <alignment horizontal="left"/>
    </xf>
    <xf numFmtId="0" fontId="0" fillId="0" borderId="7" xfId="0" applyNumberFormat="1" applyFill="1" applyBorder="1"/>
    <xf numFmtId="0" fontId="0" fillId="0" borderId="0" xfId="0" applyNumberFormat="1" applyFill="1" applyBorder="1"/>
    <xf numFmtId="0" fontId="0" fillId="0" borderId="8" xfId="0" applyNumberFormat="1" applyFill="1" applyBorder="1"/>
    <xf numFmtId="0" fontId="2" fillId="0" borderId="0" xfId="0" applyNumberFormat="1" applyFont="1" applyFill="1" applyBorder="1"/>
    <xf numFmtId="0" fontId="2" fillId="0" borderId="8" xfId="0" applyNumberFormat="1" applyFont="1" applyFill="1" applyBorder="1"/>
    <xf numFmtId="0" fontId="0" fillId="0" borderId="9" xfId="0" applyNumberFormat="1" applyFill="1" applyBorder="1"/>
    <xf numFmtId="0" fontId="0" fillId="0" borderId="10" xfId="0" applyNumberFormat="1" applyFill="1" applyBorder="1"/>
    <xf numFmtId="0" fontId="0" fillId="0" borderId="11" xfId="0" applyNumberFormat="1" applyFill="1" applyBorder="1"/>
    <xf numFmtId="0" fontId="2" fillId="0" borderId="10" xfId="0" applyNumberFormat="1" applyFont="1" applyFill="1" applyBorder="1"/>
    <xf numFmtId="0" fontId="2" fillId="0" borderId="11" xfId="0" applyNumberFormat="1" applyFont="1" applyFill="1" applyBorder="1"/>
    <xf numFmtId="0" fontId="0" fillId="0" borderId="1" xfId="0" applyFill="1" applyBorder="1"/>
    <xf numFmtId="0" fontId="2" fillId="0" borderId="1" xfId="0" applyFont="1" applyFill="1" applyBorder="1"/>
    <xf numFmtId="0" fontId="2" fillId="0" borderId="0" xfId="0" applyFont="1" applyFill="1" applyAlignment="1">
      <alignment wrapText="1"/>
    </xf>
    <xf numFmtId="0" fontId="2" fillId="0" borderId="0" xfId="0" applyNumberFormat="1" applyFont="1" applyFill="1"/>
    <xf numFmtId="0" fontId="0" fillId="0" borderId="0" xfId="0" applyAlignment="1">
      <alignment horizontal="left" indent="2"/>
    </xf>
    <xf numFmtId="0" fontId="2" fillId="0" borderId="0" xfId="0" applyFont="1" applyFill="1" applyAlignment="1">
      <alignment horizontal="left" indent="2"/>
    </xf>
    <xf numFmtId="0" fontId="0" fillId="0" borderId="0" xfId="0" applyFill="1" applyAlignment="1">
      <alignment horizontal="left" indent="2"/>
    </xf>
    <xf numFmtId="0" fontId="2" fillId="2" borderId="0" xfId="0" applyNumberFormat="1" applyFont="1" applyFill="1" applyBorder="1"/>
    <xf numFmtId="0" fontId="2" fillId="2" borderId="0" xfId="0" applyFont="1" applyFill="1" applyAlignment="1">
      <alignment horizontal="left"/>
    </xf>
    <xf numFmtId="0" fontId="2" fillId="2" borderId="8" xfId="0" applyNumberFormat="1" applyFont="1" applyFill="1" applyBorder="1"/>
    <xf numFmtId="0" fontId="0" fillId="3" borderId="0" xfId="0" applyFill="1" applyAlignment="1">
      <alignment horizontal="left" indent="1"/>
    </xf>
    <xf numFmtId="0" fontId="2" fillId="3" borderId="0" xfId="0" applyNumberFormat="1" applyFont="1" applyFill="1" applyBorder="1"/>
    <xf numFmtId="0" fontId="2" fillId="3" borderId="0" xfId="0" applyFont="1" applyFill="1" applyAlignment="1">
      <alignment horizontal="left" indent="1"/>
    </xf>
    <xf numFmtId="0" fontId="2" fillId="3" borderId="8" xfId="0" applyNumberFormat="1" applyFont="1" applyFill="1" applyBorder="1"/>
    <xf numFmtId="0" fontId="0" fillId="3" borderId="7" xfId="0" applyNumberFormat="1" applyFill="1" applyBorder="1"/>
    <xf numFmtId="0" fontId="0" fillId="3" borderId="0" xfId="0" applyNumberFormat="1" applyFill="1" applyBorder="1"/>
    <xf numFmtId="0" fontId="0" fillId="3" borderId="8" xfId="0" applyNumberFormat="1" applyFill="1" applyBorder="1"/>
    <xf numFmtId="0" fontId="0" fillId="2" borderId="4" xfId="0" applyNumberFormat="1" applyFill="1" applyBorder="1"/>
    <xf numFmtId="0" fontId="0" fillId="2" borderId="5" xfId="0" applyNumberFormat="1" applyFill="1" applyBorder="1"/>
    <xf numFmtId="0" fontId="0" fillId="2" borderId="6" xfId="0" applyNumberFormat="1" applyFill="1" applyBorder="1"/>
    <xf numFmtId="0" fontId="2" fillId="2" borderId="5" xfId="0" applyNumberFormat="1" applyFont="1" applyFill="1" applyBorder="1"/>
    <xf numFmtId="0" fontId="2" fillId="2" borderId="6" xfId="0" applyNumberFormat="1" applyFont="1" applyFill="1" applyBorder="1"/>
    <xf numFmtId="0" fontId="0" fillId="2" borderId="7" xfId="0" applyNumberFormat="1" applyFill="1" applyBorder="1"/>
    <xf numFmtId="0" fontId="0" fillId="2" borderId="0" xfId="0" applyNumberFormat="1" applyFill="1" applyBorder="1"/>
    <xf numFmtId="0" fontId="0" fillId="2" borderId="8" xfId="0" applyNumberFormat="1" applyFill="1" applyBorder="1"/>
    <xf numFmtId="0" fontId="3" fillId="0" borderId="0" xfId="0" applyFont="1" applyFill="1" applyAlignment="1">
      <alignment horizontal="left" indent="2"/>
    </xf>
    <xf numFmtId="0" fontId="3" fillId="0" borderId="7" xfId="0" applyNumberFormat="1" applyFont="1" applyFill="1" applyBorder="1"/>
    <xf numFmtId="0" fontId="3" fillId="0" borderId="0" xfId="0" applyNumberFormat="1" applyFont="1" applyFill="1" applyBorder="1"/>
    <xf numFmtId="0" fontId="3" fillId="0" borderId="8" xfId="0" applyNumberFormat="1" applyFont="1" applyFill="1" applyBorder="1"/>
    <xf numFmtId="0" fontId="4" fillId="0" borderId="0" xfId="0" applyNumberFormat="1" applyFont="1" applyFill="1" applyBorder="1"/>
    <xf numFmtId="0" fontId="4" fillId="0" borderId="8" xfId="0" applyNumberFormat="1" applyFont="1" applyFill="1" applyBorder="1"/>
    <xf numFmtId="0" fontId="4" fillId="2" borderId="0" xfId="0" applyNumberFormat="1" applyFont="1" applyFill="1" applyBorder="1"/>
    <xf numFmtId="0" fontId="4" fillId="3" borderId="0" xfId="0" applyNumberFormat="1" applyFont="1" applyFill="1" applyBorder="1"/>
    <xf numFmtId="0" fontId="4" fillId="0" borderId="0" xfId="0" applyNumberFormat="1" applyFont="1" applyFill="1"/>
    <xf numFmtId="0" fontId="3" fillId="0" borderId="0" xfId="0" applyFont="1" applyFill="1"/>
    <xf numFmtId="0" fontId="4" fillId="3" borderId="8" xfId="0" applyNumberFormat="1" applyFont="1" applyFill="1" applyBorder="1"/>
    <xf numFmtId="0" fontId="4" fillId="0" borderId="0" xfId="0" applyFont="1" applyFill="1" applyAlignment="1">
      <alignment horizontal="left" indent="2"/>
    </xf>
    <xf numFmtId="0" fontId="3" fillId="0" borderId="0" xfId="0" applyFont="1"/>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center" wrapText="1"/>
    </xf>
    <xf numFmtId="0" fontId="0" fillId="0" borderId="3" xfId="0" applyBorder="1" applyAlignment="1">
      <alignment horizontal="center" wrapText="1"/>
    </xf>
    <xf numFmtId="0" fontId="2" fillId="0" borderId="2" xfId="0" applyFont="1" applyFill="1" applyBorder="1" applyAlignment="1">
      <alignment horizontal="center" wrapText="1"/>
    </xf>
    <xf numFmtId="0" fontId="2" fillId="0" borderId="0" xfId="0" applyFont="1" applyFill="1" applyBorder="1" applyAlignment="1">
      <alignment horizontal="center" wrapText="1"/>
    </xf>
    <xf numFmtId="0" fontId="2" fillId="0" borderId="0" xfId="0" applyFont="1" applyFill="1" applyAlignment="1">
      <alignment horizontal="center" wrapText="1"/>
    </xf>
  </cellXfs>
  <cellStyles count="1">
    <cellStyle name="Normal" xfId="0" builtinId="0"/>
  </cellStyles>
  <dxfs count="2496">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alignment textRotation="90" readingOrder="0"/>
    </dxf>
    <dxf>
      <font>
        <color theme="5" tint="-0.249977111117893"/>
      </font>
    </dxf>
    <dxf>
      <font>
        <color theme="9" tint="-0.249977111117893"/>
      </font>
    </dxf>
    <dxf>
      <font>
        <color theme="5" tint="-0.249977111117893"/>
      </font>
    </dxf>
    <dxf>
      <font>
        <color theme="9" tint="-0.249977111117893"/>
      </font>
    </dxf>
    <dxf>
      <border>
        <left style="thin">
          <color theme="5" tint="-0.24994659260841701"/>
        </left>
        <right style="thin">
          <color theme="5" tint="-0.24994659260841701"/>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darkVertical">
          <fgColor theme="5" tint="0.39991454817346722"/>
        </patternFill>
      </fill>
    </dxf>
    <dxf>
      <font>
        <color auto="1"/>
      </font>
    </dxf>
    <dxf>
      <fill>
        <patternFill patternType="darkVertical">
          <fgColor theme="9" tint="0.39991454817346722"/>
        </patternFill>
      </fill>
    </dxf>
    <dxf>
      <font>
        <color auto="1"/>
      </font>
    </dxf>
    <dxf>
      <fill>
        <patternFill patternType="none">
          <fgColor indexed="64"/>
          <bgColor auto="1"/>
        </patternFill>
      </fill>
    </dxf>
    <dxf>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textRotation="45"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alignment textRotation="90" readingOrder="0"/>
    </dxf>
    <dxf>
      <alignment textRotation="90" readingOrder="0"/>
    </dxf>
    <dxf>
      <alignment textRotation="90" readingOrder="0"/>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theme="7"/>
      </font>
    </dxf>
    <dxf>
      <font>
        <color theme="7"/>
      </font>
    </dxf>
    <dxf>
      <font>
        <color theme="7"/>
      </font>
    </dxf>
    <dxf>
      <font>
        <color theme="8"/>
      </font>
    </dxf>
    <dxf>
      <font>
        <color theme="9"/>
      </font>
    </dxf>
    <dxf>
      <font>
        <color theme="9" tint="0.79998168889431442"/>
      </font>
    </dxf>
    <dxf>
      <font>
        <color theme="9" tint="0.59999389629810485"/>
      </font>
    </dxf>
    <dxf>
      <font>
        <color theme="9" tint="0.39997558519241921"/>
      </font>
    </dxf>
    <dxf>
      <font>
        <color theme="9" tint="-0.249977111117893"/>
      </font>
    </dxf>
    <dxf>
      <font>
        <color theme="9" tint="-0.249977111117893"/>
      </font>
    </dxf>
    <dxf>
      <font>
        <color theme="7" tint="-0.249977111117893"/>
      </font>
    </dxf>
    <dxf>
      <font>
        <color theme="7" tint="-0.499984740745262"/>
      </font>
    </dxf>
    <dxf>
      <font>
        <color theme="7" tint="-0.249977111117893"/>
      </font>
    </dxf>
    <dxf>
      <font>
        <color theme="7" tint="0.39997558519241921"/>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249977111117893"/>
      </font>
    </dxf>
    <dxf>
      <font>
        <color theme="7" tint="0.39997558519241921"/>
      </font>
    </dxf>
    <dxf>
      <font>
        <color theme="6" tint="0.39997558519241921"/>
      </font>
    </dxf>
    <dxf>
      <font>
        <color theme="6" tint="0.59999389629810485"/>
      </font>
    </dxf>
    <dxf>
      <font>
        <color theme="5" tint="0.79998168889431442"/>
      </font>
    </dxf>
    <dxf>
      <font>
        <color theme="5"/>
      </font>
    </dxf>
    <dxf>
      <font>
        <color theme="7"/>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none">
          <bgColor auto="1"/>
        </patternFill>
      </fill>
    </dxf>
    <dxf>
      <fill>
        <patternFill patternType="none">
          <bgColor auto="1"/>
        </patternFill>
      </fill>
    </dxf>
    <dxf>
      <font>
        <color auto="1"/>
      </font>
    </dxf>
    <dxf>
      <fill>
        <patternFill patternType="solid">
          <bgColor theme="6" tint="0.59999389629810485"/>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5" tint="0.39997558519241921"/>
        </patternFill>
      </fill>
    </dxf>
    <dxf>
      <font>
        <i/>
      </font>
    </dxf>
    <dxf>
      <font>
        <i/>
      </font>
    </dxf>
    <dxf>
      <font>
        <i/>
      </font>
    </dxf>
    <dxf>
      <font>
        <i/>
      </font>
    </dxf>
    <dxf>
      <font>
        <i/>
      </font>
    </dxf>
    <dxf>
      <font>
        <i/>
      </font>
    </dxf>
    <dxf>
      <font>
        <i/>
      </font>
    </dxf>
    <dxf>
      <font>
        <i/>
      </font>
    </dxf>
    <dxf>
      <numFmt numFmtId="0" formatCode="General"/>
    </dxf>
    <dxf>
      <numFmt numFmtId="0" formatCode="General"/>
    </dxf>
    <dxf>
      <numFmt numFmtId="0" formatCode="General"/>
    </dxf>
    <dxf>
      <numFmt numFmtId="0" formatCode="General"/>
    </dxf>
    <dxf>
      <font>
        <i/>
      </font>
    </dxf>
    <dxf>
      <font>
        <i/>
      </font>
    </dxf>
    <dxf>
      <font>
        <i/>
      </font>
    </dxf>
    <dxf>
      <font>
        <i/>
      </font>
    </dxf>
    <dxf>
      <font>
        <i/>
      </font>
    </dxf>
    <dxf>
      <font>
        <i/>
      </font>
    </dxf>
    <dxf>
      <font>
        <i/>
      </font>
    </dxf>
    <dxf>
      <font>
        <i/>
      </font>
    </dxf>
    <dxf>
      <fill>
        <patternFill patternType="solid">
          <bgColor theme="5" tint="0.39997558519241921"/>
        </patternFill>
      </fill>
    </dxf>
    <dxf>
      <fill>
        <patternFill patternType="solid">
          <bgColor theme="5"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5" tint="0.39997558519241921"/>
        </patternFill>
      </fill>
    </dxf>
    <dxf>
      <fill>
        <patternFill patternType="solid">
          <bgColor theme="6" tint="0.59999389629810485"/>
        </patternFill>
      </fill>
    </dxf>
    <dxf>
      <font>
        <color auto="1"/>
      </font>
    </dxf>
    <dxf>
      <fill>
        <patternFill patternType="none">
          <bgColor auto="1"/>
        </patternFill>
      </fill>
    </dxf>
    <dxf>
      <fill>
        <patternFill patternType="none">
          <bgColor auto="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5" tint="0.3999755851924192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8"/>
      </font>
    </dxf>
    <dxf>
      <font>
        <color theme="7"/>
      </font>
    </dxf>
    <dxf>
      <font>
        <color theme="5"/>
      </font>
    </dxf>
    <dxf>
      <font>
        <color theme="5" tint="0.79998168889431442"/>
      </font>
    </dxf>
    <dxf>
      <font>
        <color theme="6" tint="0.59999389629810485"/>
      </font>
    </dxf>
    <dxf>
      <font>
        <color theme="6" tint="0.39997558519241921"/>
      </font>
    </dxf>
    <dxf>
      <font>
        <color theme="7" tint="0.39997558519241921"/>
      </font>
    </dxf>
    <dxf>
      <font>
        <color theme="7" tint="-0.249977111117893"/>
      </font>
    </dxf>
    <dxf>
      <font>
        <color theme="7" tint="0.39997558519241921"/>
      </font>
    </dxf>
    <dxf>
      <font>
        <color theme="7" tint="0.59999389629810485"/>
      </font>
    </dxf>
    <dxf>
      <font>
        <color theme="7" tint="0.79998168889431442"/>
      </font>
    </dxf>
    <dxf>
      <font>
        <color theme="7" tint="0.59999389629810485"/>
      </font>
    </dxf>
    <dxf>
      <font>
        <color theme="7" tint="0.39997558519241921"/>
      </font>
    </dxf>
    <dxf>
      <font>
        <color theme="7" tint="0.39997558519241921"/>
      </font>
    </dxf>
    <dxf>
      <font>
        <color theme="7" tint="-0.249977111117893"/>
      </font>
    </dxf>
    <dxf>
      <font>
        <color theme="7" tint="-0.499984740745262"/>
      </font>
    </dxf>
    <dxf>
      <font>
        <color theme="7" tint="-0.249977111117893"/>
      </font>
    </dxf>
    <dxf>
      <font>
        <color theme="9" tint="-0.249977111117893"/>
      </font>
    </dxf>
    <dxf>
      <font>
        <color theme="9" tint="-0.249977111117893"/>
      </font>
    </dxf>
    <dxf>
      <font>
        <color theme="9" tint="0.39997558519241921"/>
      </font>
    </dxf>
    <dxf>
      <font>
        <color theme="9" tint="0.59999389629810485"/>
      </font>
    </dxf>
    <dxf>
      <font>
        <color theme="9" tint="0.79998168889431442"/>
      </font>
    </dxf>
    <dxf>
      <font>
        <color theme="9"/>
      </font>
    </dxf>
    <dxf>
      <font>
        <color theme="8"/>
      </font>
    </dxf>
    <dxf>
      <font>
        <color theme="7"/>
      </font>
    </dxf>
    <dxf>
      <font>
        <color theme="7"/>
      </font>
    </dxf>
    <dxf>
      <font>
        <color theme="7"/>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color theme="5"/>
      </font>
    </dxf>
    <dxf>
      <font>
        <color theme="5"/>
      </font>
    </dxf>
    <dxf>
      <font>
        <color theme="5"/>
      </font>
    </dxf>
    <dxf>
      <font>
        <color theme="5"/>
      </font>
    </dxf>
    <dxf>
      <font>
        <color theme="5"/>
      </font>
    </dxf>
    <dxf>
      <font>
        <color theme="5"/>
      </font>
    </dxf>
    <dxf>
      <font>
        <color theme="5"/>
      </font>
    </dxf>
    <dxf>
      <font>
        <color theme="5"/>
      </font>
    </dxf>
    <dxf>
      <font>
        <color theme="5"/>
      </font>
    </dxf>
    <dxf>
      <alignment textRotation="90" readingOrder="0"/>
    </dxf>
    <dxf>
      <alignment textRotation="90" readingOrder="0"/>
    </dxf>
    <dxf>
      <alignment textRotation="90" readingOrder="0"/>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textRotation="45" readingOrder="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fgColor indexed="64"/>
          <bgColor auto="1"/>
        </patternFill>
      </fill>
    </dxf>
    <dxf>
      <fill>
        <patternFill patternType="none">
          <fgColor indexed="64"/>
          <bgColor auto="1"/>
        </patternFill>
      </fill>
    </dxf>
    <dxf>
      <font>
        <color auto="1"/>
      </font>
    </dxf>
    <dxf>
      <fill>
        <patternFill patternType="darkVertical">
          <fgColor theme="9" tint="0.39991454817346722"/>
        </patternFill>
      </fill>
    </dxf>
    <dxf>
      <font>
        <color auto="1"/>
      </font>
    </dxf>
    <dxf>
      <fill>
        <patternFill patternType="darkVertical">
          <fgColor theme="5" tint="0.39991454817346722"/>
        </patternFill>
      </fill>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5" tint="0.39994506668294322"/>
        </patternFill>
      </fill>
      <border>
        <left/>
        <right/>
      </border>
    </dxf>
    <dxf>
      <fill>
        <patternFill patternType="lightUp">
          <fgColor theme="9" tint="0.39994506668294322"/>
          <bgColor auto="1"/>
        </patternFill>
      </fill>
    </dxf>
    <dxf>
      <fill>
        <patternFill patternType="lightUp">
          <fgColor theme="9" tint="0.39994506668294322"/>
          <bgColor auto="1"/>
        </patternFill>
      </fill>
    </dxf>
    <dxf>
      <fill>
        <patternFill patternType="lightUp">
          <fgColor theme="9" tint="0.39994506668294322"/>
          <bgColor auto="1"/>
        </patternFill>
      </fill>
    </dxf>
    <dxf>
      <border>
        <left style="thin">
          <color theme="5" tint="-0.24994659260841701"/>
        </left>
        <right style="thin">
          <color theme="5" tint="-0.24994659260841701"/>
        </right>
      </border>
    </dxf>
    <dxf>
      <font>
        <color theme="9" tint="-0.249977111117893"/>
      </font>
    </dxf>
    <dxf>
      <font>
        <color theme="5" tint="-0.249977111117893"/>
      </font>
    </dxf>
    <dxf>
      <font>
        <color theme="9" tint="-0.249977111117893"/>
      </font>
    </dxf>
    <dxf>
      <font>
        <color theme="5" tint="-0.249977111117893"/>
      </font>
    </dxf>
    <dxf>
      <alignment textRotation="9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schemas.microsoft.com/developer/msbuild/2003'">
  <Schema ID="Schema1" Namespace="http://schemas.microsoft.com/developer/msbuild/2003">
    <xsd:schema xmlns:xsd="http://www.w3.org/2001/XMLSchema" xmlns:ns0="http://schemas.microsoft.com/developer/msbuild/2003" xmlns="" targetNamespace="http://schemas.microsoft.com/developer/msbuild/2003">
      <xsd:element nillable="true" name="Project">
        <xsd:complexType>
          <xsd:sequence minOccurs="0">
            <xsd:element minOccurs="0" maxOccurs="unbounded" nillable="true" name="ImportGroup" form="qualified">
              <xsd:complexType>
                <xsd:sequence minOccurs="0">
                  <xsd:element minOccurs="0" maxOccurs="unbounded" nillable="true" name="Import" form="qualified">
                    <xsd:complexType>
                      <xsd:attribute name="Project" form="unqualified" type="xsd:string"/>
                    </xsd:complexType>
                  </xsd:element>
                </xsd:sequence>
                <xsd:attribute name="target" form="unqualified" type="xsd:string"/>
              </xsd:complexType>
            </xsd:element>
          </xsd:sequence>
          <xsd:attribute name="DefaultTargets" form="unqualified" type="xsd:string"/>
          <xsd:attribute name="ToolsVersion" form="unqualified" type="xsd:double"/>
        </xsd:complexType>
      </xsd:element>
    </xsd:schema>
  </Schema>
  <Map ID="1" Name="Project_Map" RootElement="Project"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xmlMaps" Target="xmlMaps.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enault, Stephen - ITSLM/GCSTI" refreshedDate="44477.495453356481" createdVersion="5" refreshedVersion="5" minRefreshableVersion="3" recordCount="226" xr:uid="{00000000-000A-0000-FFFF-FFFF22000000}">
  <cacheSource type="worksheet">
    <worksheetSource name="Table1"/>
  </cacheSource>
  <cacheFields count="8">
    <cacheField name="DefaultTargets" numFmtId="49">
      <sharedItems/>
    </cacheField>
    <cacheField name="ToolsVersion" numFmtId="0">
      <sharedItems containsSemiMixedTypes="0" containsString="0" containsNumber="1" containsInteger="1" minValue="15" maxValue="15"/>
    </cacheField>
    <cacheField name="target" numFmtId="49">
      <sharedItems count="20">
        <s v="Debug|Win32"/>
        <s v="Debug|x64"/>
        <s v="DebugM5|Win32"/>
        <s v="DebugM5|x64"/>
        <s v="EXTE|Win32"/>
        <s v="EXTE|x64"/>
        <s v="EXTEM5|Win32"/>
        <s v="EXTEM5|x64"/>
        <s v="EXTF|Win32"/>
        <s v="EXTF|x64"/>
        <s v="EXTFM5|Win32"/>
        <s v="EXTFM5|x64"/>
        <s v="STCE|Win32"/>
        <s v="STCE|x64"/>
        <s v="STCEM5|Win32"/>
        <s v="STCEM5|x64"/>
        <s v="STCF|Win32"/>
        <s v="STCF|x64"/>
        <s v="STCFM5|Win32"/>
        <s v="STCFM5|x64"/>
      </sharedItems>
    </cacheField>
    <cacheField name="Project" numFmtId="49">
      <sharedItems count="18">
        <s v="VersionInfo.props"/>
        <s v="BuildOptions.props"/>
        <s v="StcLanguageEnglish.props"/>
        <s v="SasToolkitLinkCommon.props"/>
        <s v="SasToolkitCommonX86.props"/>
        <s v="SasToolkitHeaderLEQm4.props"/>
        <s v="SasToolkitLinkLEQm4.props"/>
        <s v="BanffProcCompileCommon.props"/>
        <s v="BanffProcLinkCommon.props"/>
        <s v="BanffProcDebugCommon.props"/>
        <s v="SasToolkitCommonX64.props"/>
        <s v="BanffProcM5.props"/>
        <s v="SasToolkitHeaderGEQm5.props"/>
        <s v="SasToolkitLinkGEQm5.props"/>
        <s v="BanffProcReleaseEXT.props"/>
        <s v="BanffProcReleaseCommon.props"/>
        <s v="StcLanguageFrench.props"/>
        <s v="BanffProcReleaseSTC.props"/>
      </sharedItems>
    </cacheField>
    <cacheField name="config" numFmtId="0">
      <sharedItems count="10">
        <s v="Debug"/>
        <s v="DebugM5"/>
        <s v="EXTE"/>
        <s v="EXTEM5"/>
        <s v="EXTF"/>
        <s v="EXTFM5"/>
        <s v="STCE"/>
        <s v="STCEM5"/>
        <s v="STCF"/>
        <s v="STCFM5"/>
      </sharedItems>
    </cacheField>
    <cacheField name="platform" numFmtId="0">
      <sharedItems count="2">
        <s v="Win32"/>
        <s v="x64"/>
      </sharedItems>
    </cacheField>
    <cacheField name="Mlevel" numFmtId="0">
      <sharedItems count="2">
        <s v="LEQm4"/>
        <s v="GEQm5"/>
      </sharedItems>
    </cacheField>
    <cacheField name="config_base" numFmtId="0">
      <sharedItems count="5">
        <s v="Debug"/>
        <s v="EXTE"/>
        <s v="EXTF"/>
        <s v="STCE"/>
        <s v="STCF"/>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26">
  <r>
    <s v="Build"/>
    <n v="15"/>
    <x v="0"/>
    <x v="0"/>
    <x v="0"/>
    <x v="0"/>
    <x v="0"/>
    <x v="0"/>
  </r>
  <r>
    <s v="Build"/>
    <n v="15"/>
    <x v="0"/>
    <x v="1"/>
    <x v="0"/>
    <x v="0"/>
    <x v="0"/>
    <x v="0"/>
  </r>
  <r>
    <s v="Build"/>
    <n v="15"/>
    <x v="0"/>
    <x v="2"/>
    <x v="0"/>
    <x v="0"/>
    <x v="0"/>
    <x v="0"/>
  </r>
  <r>
    <s v="Build"/>
    <n v="15"/>
    <x v="0"/>
    <x v="3"/>
    <x v="0"/>
    <x v="0"/>
    <x v="0"/>
    <x v="0"/>
  </r>
  <r>
    <s v="Build"/>
    <n v="15"/>
    <x v="0"/>
    <x v="4"/>
    <x v="0"/>
    <x v="0"/>
    <x v="0"/>
    <x v="0"/>
  </r>
  <r>
    <s v="Build"/>
    <n v="15"/>
    <x v="0"/>
    <x v="5"/>
    <x v="0"/>
    <x v="0"/>
    <x v="0"/>
    <x v="0"/>
  </r>
  <r>
    <s v="Build"/>
    <n v="15"/>
    <x v="0"/>
    <x v="6"/>
    <x v="0"/>
    <x v="0"/>
    <x v="0"/>
    <x v="0"/>
  </r>
  <r>
    <s v="Build"/>
    <n v="15"/>
    <x v="0"/>
    <x v="7"/>
    <x v="0"/>
    <x v="0"/>
    <x v="0"/>
    <x v="0"/>
  </r>
  <r>
    <s v="Build"/>
    <n v="15"/>
    <x v="0"/>
    <x v="8"/>
    <x v="0"/>
    <x v="0"/>
    <x v="0"/>
    <x v="0"/>
  </r>
  <r>
    <s v="Build"/>
    <n v="15"/>
    <x v="0"/>
    <x v="9"/>
    <x v="0"/>
    <x v="0"/>
    <x v="0"/>
    <x v="0"/>
  </r>
  <r>
    <s v="Build"/>
    <n v="15"/>
    <x v="1"/>
    <x v="0"/>
    <x v="0"/>
    <x v="1"/>
    <x v="0"/>
    <x v="0"/>
  </r>
  <r>
    <s v="Build"/>
    <n v="15"/>
    <x v="1"/>
    <x v="1"/>
    <x v="0"/>
    <x v="1"/>
    <x v="0"/>
    <x v="0"/>
  </r>
  <r>
    <s v="Build"/>
    <n v="15"/>
    <x v="1"/>
    <x v="2"/>
    <x v="0"/>
    <x v="1"/>
    <x v="0"/>
    <x v="0"/>
  </r>
  <r>
    <s v="Build"/>
    <n v="15"/>
    <x v="1"/>
    <x v="3"/>
    <x v="0"/>
    <x v="1"/>
    <x v="0"/>
    <x v="0"/>
  </r>
  <r>
    <s v="Build"/>
    <n v="15"/>
    <x v="1"/>
    <x v="10"/>
    <x v="0"/>
    <x v="1"/>
    <x v="0"/>
    <x v="0"/>
  </r>
  <r>
    <s v="Build"/>
    <n v="15"/>
    <x v="1"/>
    <x v="5"/>
    <x v="0"/>
    <x v="1"/>
    <x v="0"/>
    <x v="0"/>
  </r>
  <r>
    <s v="Build"/>
    <n v="15"/>
    <x v="1"/>
    <x v="6"/>
    <x v="0"/>
    <x v="1"/>
    <x v="0"/>
    <x v="0"/>
  </r>
  <r>
    <s v="Build"/>
    <n v="15"/>
    <x v="1"/>
    <x v="7"/>
    <x v="0"/>
    <x v="1"/>
    <x v="0"/>
    <x v="0"/>
  </r>
  <r>
    <s v="Build"/>
    <n v="15"/>
    <x v="1"/>
    <x v="8"/>
    <x v="0"/>
    <x v="1"/>
    <x v="0"/>
    <x v="0"/>
  </r>
  <r>
    <s v="Build"/>
    <n v="15"/>
    <x v="1"/>
    <x v="9"/>
    <x v="0"/>
    <x v="1"/>
    <x v="0"/>
    <x v="0"/>
  </r>
  <r>
    <s v="Build"/>
    <n v="15"/>
    <x v="2"/>
    <x v="0"/>
    <x v="1"/>
    <x v="0"/>
    <x v="1"/>
    <x v="0"/>
  </r>
  <r>
    <s v="Build"/>
    <n v="15"/>
    <x v="2"/>
    <x v="1"/>
    <x v="1"/>
    <x v="0"/>
    <x v="1"/>
    <x v="0"/>
  </r>
  <r>
    <s v="Build"/>
    <n v="15"/>
    <x v="2"/>
    <x v="2"/>
    <x v="1"/>
    <x v="0"/>
    <x v="1"/>
    <x v="0"/>
  </r>
  <r>
    <s v="Build"/>
    <n v="15"/>
    <x v="2"/>
    <x v="11"/>
    <x v="1"/>
    <x v="0"/>
    <x v="1"/>
    <x v="0"/>
  </r>
  <r>
    <s v="Build"/>
    <n v="15"/>
    <x v="2"/>
    <x v="3"/>
    <x v="1"/>
    <x v="0"/>
    <x v="1"/>
    <x v="0"/>
  </r>
  <r>
    <s v="Build"/>
    <n v="15"/>
    <x v="2"/>
    <x v="4"/>
    <x v="1"/>
    <x v="0"/>
    <x v="1"/>
    <x v="0"/>
  </r>
  <r>
    <s v="Build"/>
    <n v="15"/>
    <x v="2"/>
    <x v="12"/>
    <x v="1"/>
    <x v="0"/>
    <x v="1"/>
    <x v="0"/>
  </r>
  <r>
    <s v="Build"/>
    <n v="15"/>
    <x v="2"/>
    <x v="13"/>
    <x v="1"/>
    <x v="0"/>
    <x v="1"/>
    <x v="0"/>
  </r>
  <r>
    <s v="Build"/>
    <n v="15"/>
    <x v="2"/>
    <x v="7"/>
    <x v="1"/>
    <x v="0"/>
    <x v="1"/>
    <x v="0"/>
  </r>
  <r>
    <s v="Build"/>
    <n v="15"/>
    <x v="2"/>
    <x v="8"/>
    <x v="1"/>
    <x v="0"/>
    <x v="1"/>
    <x v="0"/>
  </r>
  <r>
    <s v="Build"/>
    <n v="15"/>
    <x v="2"/>
    <x v="9"/>
    <x v="1"/>
    <x v="0"/>
    <x v="1"/>
    <x v="0"/>
  </r>
  <r>
    <s v="Build"/>
    <n v="15"/>
    <x v="3"/>
    <x v="0"/>
    <x v="1"/>
    <x v="1"/>
    <x v="1"/>
    <x v="0"/>
  </r>
  <r>
    <s v="Build"/>
    <n v="15"/>
    <x v="3"/>
    <x v="1"/>
    <x v="1"/>
    <x v="1"/>
    <x v="1"/>
    <x v="0"/>
  </r>
  <r>
    <s v="Build"/>
    <n v="15"/>
    <x v="3"/>
    <x v="2"/>
    <x v="1"/>
    <x v="1"/>
    <x v="1"/>
    <x v="0"/>
  </r>
  <r>
    <s v="Build"/>
    <n v="15"/>
    <x v="3"/>
    <x v="11"/>
    <x v="1"/>
    <x v="1"/>
    <x v="1"/>
    <x v="0"/>
  </r>
  <r>
    <s v="Build"/>
    <n v="15"/>
    <x v="3"/>
    <x v="3"/>
    <x v="1"/>
    <x v="1"/>
    <x v="1"/>
    <x v="0"/>
  </r>
  <r>
    <s v="Build"/>
    <n v="15"/>
    <x v="3"/>
    <x v="10"/>
    <x v="1"/>
    <x v="1"/>
    <x v="1"/>
    <x v="0"/>
  </r>
  <r>
    <s v="Build"/>
    <n v="15"/>
    <x v="3"/>
    <x v="12"/>
    <x v="1"/>
    <x v="1"/>
    <x v="1"/>
    <x v="0"/>
  </r>
  <r>
    <s v="Build"/>
    <n v="15"/>
    <x v="3"/>
    <x v="13"/>
    <x v="1"/>
    <x v="1"/>
    <x v="1"/>
    <x v="0"/>
  </r>
  <r>
    <s v="Build"/>
    <n v="15"/>
    <x v="3"/>
    <x v="7"/>
    <x v="1"/>
    <x v="1"/>
    <x v="1"/>
    <x v="0"/>
  </r>
  <r>
    <s v="Build"/>
    <n v="15"/>
    <x v="3"/>
    <x v="8"/>
    <x v="1"/>
    <x v="1"/>
    <x v="1"/>
    <x v="0"/>
  </r>
  <r>
    <s v="Build"/>
    <n v="15"/>
    <x v="3"/>
    <x v="9"/>
    <x v="1"/>
    <x v="1"/>
    <x v="1"/>
    <x v="0"/>
  </r>
  <r>
    <s v="Build"/>
    <n v="15"/>
    <x v="4"/>
    <x v="0"/>
    <x v="2"/>
    <x v="0"/>
    <x v="0"/>
    <x v="1"/>
  </r>
  <r>
    <s v="Build"/>
    <n v="15"/>
    <x v="4"/>
    <x v="1"/>
    <x v="2"/>
    <x v="0"/>
    <x v="0"/>
    <x v="1"/>
  </r>
  <r>
    <s v="Build"/>
    <n v="15"/>
    <x v="4"/>
    <x v="2"/>
    <x v="2"/>
    <x v="0"/>
    <x v="0"/>
    <x v="1"/>
  </r>
  <r>
    <s v="Build"/>
    <n v="15"/>
    <x v="4"/>
    <x v="14"/>
    <x v="2"/>
    <x v="0"/>
    <x v="0"/>
    <x v="1"/>
  </r>
  <r>
    <s v="Build"/>
    <n v="15"/>
    <x v="4"/>
    <x v="3"/>
    <x v="2"/>
    <x v="0"/>
    <x v="0"/>
    <x v="1"/>
  </r>
  <r>
    <s v="Build"/>
    <n v="15"/>
    <x v="4"/>
    <x v="4"/>
    <x v="2"/>
    <x v="0"/>
    <x v="0"/>
    <x v="1"/>
  </r>
  <r>
    <s v="Build"/>
    <n v="15"/>
    <x v="4"/>
    <x v="5"/>
    <x v="2"/>
    <x v="0"/>
    <x v="0"/>
    <x v="1"/>
  </r>
  <r>
    <s v="Build"/>
    <n v="15"/>
    <x v="4"/>
    <x v="6"/>
    <x v="2"/>
    <x v="0"/>
    <x v="0"/>
    <x v="1"/>
  </r>
  <r>
    <s v="Build"/>
    <n v="15"/>
    <x v="4"/>
    <x v="7"/>
    <x v="2"/>
    <x v="0"/>
    <x v="0"/>
    <x v="1"/>
  </r>
  <r>
    <s v="Build"/>
    <n v="15"/>
    <x v="4"/>
    <x v="8"/>
    <x v="2"/>
    <x v="0"/>
    <x v="0"/>
    <x v="1"/>
  </r>
  <r>
    <s v="Build"/>
    <n v="15"/>
    <x v="4"/>
    <x v="15"/>
    <x v="2"/>
    <x v="0"/>
    <x v="0"/>
    <x v="1"/>
  </r>
  <r>
    <s v="Build"/>
    <n v="15"/>
    <x v="5"/>
    <x v="0"/>
    <x v="2"/>
    <x v="1"/>
    <x v="0"/>
    <x v="1"/>
  </r>
  <r>
    <s v="Build"/>
    <n v="15"/>
    <x v="5"/>
    <x v="1"/>
    <x v="2"/>
    <x v="1"/>
    <x v="0"/>
    <x v="1"/>
  </r>
  <r>
    <s v="Build"/>
    <n v="15"/>
    <x v="5"/>
    <x v="2"/>
    <x v="2"/>
    <x v="1"/>
    <x v="0"/>
    <x v="1"/>
  </r>
  <r>
    <s v="Build"/>
    <n v="15"/>
    <x v="5"/>
    <x v="14"/>
    <x v="2"/>
    <x v="1"/>
    <x v="0"/>
    <x v="1"/>
  </r>
  <r>
    <s v="Build"/>
    <n v="15"/>
    <x v="5"/>
    <x v="3"/>
    <x v="2"/>
    <x v="1"/>
    <x v="0"/>
    <x v="1"/>
  </r>
  <r>
    <s v="Build"/>
    <n v="15"/>
    <x v="5"/>
    <x v="10"/>
    <x v="2"/>
    <x v="1"/>
    <x v="0"/>
    <x v="1"/>
  </r>
  <r>
    <s v="Build"/>
    <n v="15"/>
    <x v="5"/>
    <x v="5"/>
    <x v="2"/>
    <x v="1"/>
    <x v="0"/>
    <x v="1"/>
  </r>
  <r>
    <s v="Build"/>
    <n v="15"/>
    <x v="5"/>
    <x v="6"/>
    <x v="2"/>
    <x v="1"/>
    <x v="0"/>
    <x v="1"/>
  </r>
  <r>
    <s v="Build"/>
    <n v="15"/>
    <x v="5"/>
    <x v="7"/>
    <x v="2"/>
    <x v="1"/>
    <x v="0"/>
    <x v="1"/>
  </r>
  <r>
    <s v="Build"/>
    <n v="15"/>
    <x v="5"/>
    <x v="8"/>
    <x v="2"/>
    <x v="1"/>
    <x v="0"/>
    <x v="1"/>
  </r>
  <r>
    <s v="Build"/>
    <n v="15"/>
    <x v="5"/>
    <x v="15"/>
    <x v="2"/>
    <x v="1"/>
    <x v="0"/>
    <x v="1"/>
  </r>
  <r>
    <s v="Build"/>
    <n v="15"/>
    <x v="6"/>
    <x v="0"/>
    <x v="3"/>
    <x v="0"/>
    <x v="1"/>
    <x v="1"/>
  </r>
  <r>
    <s v="Build"/>
    <n v="15"/>
    <x v="6"/>
    <x v="1"/>
    <x v="3"/>
    <x v="0"/>
    <x v="1"/>
    <x v="1"/>
  </r>
  <r>
    <s v="Build"/>
    <n v="15"/>
    <x v="6"/>
    <x v="2"/>
    <x v="3"/>
    <x v="0"/>
    <x v="1"/>
    <x v="1"/>
  </r>
  <r>
    <s v="Build"/>
    <n v="15"/>
    <x v="6"/>
    <x v="11"/>
    <x v="3"/>
    <x v="0"/>
    <x v="1"/>
    <x v="1"/>
  </r>
  <r>
    <s v="Build"/>
    <n v="15"/>
    <x v="6"/>
    <x v="3"/>
    <x v="3"/>
    <x v="0"/>
    <x v="1"/>
    <x v="1"/>
  </r>
  <r>
    <s v="Build"/>
    <n v="15"/>
    <x v="6"/>
    <x v="4"/>
    <x v="3"/>
    <x v="0"/>
    <x v="1"/>
    <x v="1"/>
  </r>
  <r>
    <s v="Build"/>
    <n v="15"/>
    <x v="6"/>
    <x v="12"/>
    <x v="3"/>
    <x v="0"/>
    <x v="1"/>
    <x v="1"/>
  </r>
  <r>
    <s v="Build"/>
    <n v="15"/>
    <x v="6"/>
    <x v="13"/>
    <x v="3"/>
    <x v="0"/>
    <x v="1"/>
    <x v="1"/>
  </r>
  <r>
    <s v="Build"/>
    <n v="15"/>
    <x v="6"/>
    <x v="7"/>
    <x v="3"/>
    <x v="0"/>
    <x v="1"/>
    <x v="1"/>
  </r>
  <r>
    <s v="Build"/>
    <n v="15"/>
    <x v="6"/>
    <x v="8"/>
    <x v="3"/>
    <x v="0"/>
    <x v="1"/>
    <x v="1"/>
  </r>
  <r>
    <s v="Build"/>
    <n v="15"/>
    <x v="6"/>
    <x v="15"/>
    <x v="3"/>
    <x v="0"/>
    <x v="1"/>
    <x v="1"/>
  </r>
  <r>
    <s v="Build"/>
    <n v="15"/>
    <x v="6"/>
    <x v="14"/>
    <x v="3"/>
    <x v="0"/>
    <x v="1"/>
    <x v="1"/>
  </r>
  <r>
    <s v="Build"/>
    <n v="15"/>
    <x v="7"/>
    <x v="0"/>
    <x v="3"/>
    <x v="1"/>
    <x v="1"/>
    <x v="1"/>
  </r>
  <r>
    <s v="Build"/>
    <n v="15"/>
    <x v="7"/>
    <x v="1"/>
    <x v="3"/>
    <x v="1"/>
    <x v="1"/>
    <x v="1"/>
  </r>
  <r>
    <s v="Build"/>
    <n v="15"/>
    <x v="7"/>
    <x v="2"/>
    <x v="3"/>
    <x v="1"/>
    <x v="1"/>
    <x v="1"/>
  </r>
  <r>
    <s v="Build"/>
    <n v="15"/>
    <x v="7"/>
    <x v="11"/>
    <x v="3"/>
    <x v="1"/>
    <x v="1"/>
    <x v="1"/>
  </r>
  <r>
    <s v="Build"/>
    <n v="15"/>
    <x v="7"/>
    <x v="14"/>
    <x v="3"/>
    <x v="1"/>
    <x v="1"/>
    <x v="1"/>
  </r>
  <r>
    <s v="Build"/>
    <n v="15"/>
    <x v="7"/>
    <x v="3"/>
    <x v="3"/>
    <x v="1"/>
    <x v="1"/>
    <x v="1"/>
  </r>
  <r>
    <s v="Build"/>
    <n v="15"/>
    <x v="7"/>
    <x v="10"/>
    <x v="3"/>
    <x v="1"/>
    <x v="1"/>
    <x v="1"/>
  </r>
  <r>
    <s v="Build"/>
    <n v="15"/>
    <x v="7"/>
    <x v="12"/>
    <x v="3"/>
    <x v="1"/>
    <x v="1"/>
    <x v="1"/>
  </r>
  <r>
    <s v="Build"/>
    <n v="15"/>
    <x v="7"/>
    <x v="13"/>
    <x v="3"/>
    <x v="1"/>
    <x v="1"/>
    <x v="1"/>
  </r>
  <r>
    <s v="Build"/>
    <n v="15"/>
    <x v="7"/>
    <x v="7"/>
    <x v="3"/>
    <x v="1"/>
    <x v="1"/>
    <x v="1"/>
  </r>
  <r>
    <s v="Build"/>
    <n v="15"/>
    <x v="7"/>
    <x v="8"/>
    <x v="3"/>
    <x v="1"/>
    <x v="1"/>
    <x v="1"/>
  </r>
  <r>
    <s v="Build"/>
    <n v="15"/>
    <x v="7"/>
    <x v="15"/>
    <x v="3"/>
    <x v="1"/>
    <x v="1"/>
    <x v="1"/>
  </r>
  <r>
    <s v="Build"/>
    <n v="15"/>
    <x v="8"/>
    <x v="0"/>
    <x v="4"/>
    <x v="0"/>
    <x v="0"/>
    <x v="2"/>
  </r>
  <r>
    <s v="Build"/>
    <n v="15"/>
    <x v="8"/>
    <x v="1"/>
    <x v="4"/>
    <x v="0"/>
    <x v="0"/>
    <x v="2"/>
  </r>
  <r>
    <s v="Build"/>
    <n v="15"/>
    <x v="8"/>
    <x v="16"/>
    <x v="4"/>
    <x v="0"/>
    <x v="0"/>
    <x v="2"/>
  </r>
  <r>
    <s v="Build"/>
    <n v="15"/>
    <x v="8"/>
    <x v="14"/>
    <x v="4"/>
    <x v="0"/>
    <x v="0"/>
    <x v="2"/>
  </r>
  <r>
    <s v="Build"/>
    <n v="15"/>
    <x v="8"/>
    <x v="3"/>
    <x v="4"/>
    <x v="0"/>
    <x v="0"/>
    <x v="2"/>
  </r>
  <r>
    <s v="Build"/>
    <n v="15"/>
    <x v="8"/>
    <x v="4"/>
    <x v="4"/>
    <x v="0"/>
    <x v="0"/>
    <x v="2"/>
  </r>
  <r>
    <s v="Build"/>
    <n v="15"/>
    <x v="8"/>
    <x v="5"/>
    <x v="4"/>
    <x v="0"/>
    <x v="0"/>
    <x v="2"/>
  </r>
  <r>
    <s v="Build"/>
    <n v="15"/>
    <x v="8"/>
    <x v="6"/>
    <x v="4"/>
    <x v="0"/>
    <x v="0"/>
    <x v="2"/>
  </r>
  <r>
    <s v="Build"/>
    <n v="15"/>
    <x v="8"/>
    <x v="7"/>
    <x v="4"/>
    <x v="0"/>
    <x v="0"/>
    <x v="2"/>
  </r>
  <r>
    <s v="Build"/>
    <n v="15"/>
    <x v="8"/>
    <x v="8"/>
    <x v="4"/>
    <x v="0"/>
    <x v="0"/>
    <x v="2"/>
  </r>
  <r>
    <s v="Build"/>
    <n v="15"/>
    <x v="8"/>
    <x v="15"/>
    <x v="4"/>
    <x v="0"/>
    <x v="0"/>
    <x v="2"/>
  </r>
  <r>
    <s v="Build"/>
    <n v="15"/>
    <x v="9"/>
    <x v="0"/>
    <x v="4"/>
    <x v="1"/>
    <x v="0"/>
    <x v="2"/>
  </r>
  <r>
    <s v="Build"/>
    <n v="15"/>
    <x v="9"/>
    <x v="1"/>
    <x v="4"/>
    <x v="1"/>
    <x v="0"/>
    <x v="2"/>
  </r>
  <r>
    <s v="Build"/>
    <n v="15"/>
    <x v="9"/>
    <x v="16"/>
    <x v="4"/>
    <x v="1"/>
    <x v="0"/>
    <x v="2"/>
  </r>
  <r>
    <s v="Build"/>
    <n v="15"/>
    <x v="9"/>
    <x v="14"/>
    <x v="4"/>
    <x v="1"/>
    <x v="0"/>
    <x v="2"/>
  </r>
  <r>
    <s v="Build"/>
    <n v="15"/>
    <x v="9"/>
    <x v="3"/>
    <x v="4"/>
    <x v="1"/>
    <x v="0"/>
    <x v="2"/>
  </r>
  <r>
    <s v="Build"/>
    <n v="15"/>
    <x v="9"/>
    <x v="10"/>
    <x v="4"/>
    <x v="1"/>
    <x v="0"/>
    <x v="2"/>
  </r>
  <r>
    <s v="Build"/>
    <n v="15"/>
    <x v="9"/>
    <x v="5"/>
    <x v="4"/>
    <x v="1"/>
    <x v="0"/>
    <x v="2"/>
  </r>
  <r>
    <s v="Build"/>
    <n v="15"/>
    <x v="9"/>
    <x v="6"/>
    <x v="4"/>
    <x v="1"/>
    <x v="0"/>
    <x v="2"/>
  </r>
  <r>
    <s v="Build"/>
    <n v="15"/>
    <x v="9"/>
    <x v="7"/>
    <x v="4"/>
    <x v="1"/>
    <x v="0"/>
    <x v="2"/>
  </r>
  <r>
    <s v="Build"/>
    <n v="15"/>
    <x v="9"/>
    <x v="8"/>
    <x v="4"/>
    <x v="1"/>
    <x v="0"/>
    <x v="2"/>
  </r>
  <r>
    <s v="Build"/>
    <n v="15"/>
    <x v="9"/>
    <x v="15"/>
    <x v="4"/>
    <x v="1"/>
    <x v="0"/>
    <x v="2"/>
  </r>
  <r>
    <s v="Build"/>
    <n v="15"/>
    <x v="10"/>
    <x v="0"/>
    <x v="5"/>
    <x v="0"/>
    <x v="1"/>
    <x v="2"/>
  </r>
  <r>
    <s v="Build"/>
    <n v="15"/>
    <x v="10"/>
    <x v="1"/>
    <x v="5"/>
    <x v="0"/>
    <x v="1"/>
    <x v="2"/>
  </r>
  <r>
    <s v="Build"/>
    <n v="15"/>
    <x v="10"/>
    <x v="16"/>
    <x v="5"/>
    <x v="0"/>
    <x v="1"/>
    <x v="2"/>
  </r>
  <r>
    <s v="Build"/>
    <n v="15"/>
    <x v="10"/>
    <x v="11"/>
    <x v="5"/>
    <x v="0"/>
    <x v="1"/>
    <x v="2"/>
  </r>
  <r>
    <s v="Build"/>
    <n v="15"/>
    <x v="10"/>
    <x v="14"/>
    <x v="5"/>
    <x v="0"/>
    <x v="1"/>
    <x v="2"/>
  </r>
  <r>
    <s v="Build"/>
    <n v="15"/>
    <x v="10"/>
    <x v="3"/>
    <x v="5"/>
    <x v="0"/>
    <x v="1"/>
    <x v="2"/>
  </r>
  <r>
    <s v="Build"/>
    <n v="15"/>
    <x v="10"/>
    <x v="4"/>
    <x v="5"/>
    <x v="0"/>
    <x v="1"/>
    <x v="2"/>
  </r>
  <r>
    <s v="Build"/>
    <n v="15"/>
    <x v="10"/>
    <x v="12"/>
    <x v="5"/>
    <x v="0"/>
    <x v="1"/>
    <x v="2"/>
  </r>
  <r>
    <s v="Build"/>
    <n v="15"/>
    <x v="10"/>
    <x v="13"/>
    <x v="5"/>
    <x v="0"/>
    <x v="1"/>
    <x v="2"/>
  </r>
  <r>
    <s v="Build"/>
    <n v="15"/>
    <x v="10"/>
    <x v="7"/>
    <x v="5"/>
    <x v="0"/>
    <x v="1"/>
    <x v="2"/>
  </r>
  <r>
    <s v="Build"/>
    <n v="15"/>
    <x v="10"/>
    <x v="8"/>
    <x v="5"/>
    <x v="0"/>
    <x v="1"/>
    <x v="2"/>
  </r>
  <r>
    <s v="Build"/>
    <n v="15"/>
    <x v="10"/>
    <x v="15"/>
    <x v="5"/>
    <x v="0"/>
    <x v="1"/>
    <x v="2"/>
  </r>
  <r>
    <s v="Build"/>
    <n v="15"/>
    <x v="11"/>
    <x v="0"/>
    <x v="5"/>
    <x v="1"/>
    <x v="1"/>
    <x v="2"/>
  </r>
  <r>
    <s v="Build"/>
    <n v="15"/>
    <x v="11"/>
    <x v="1"/>
    <x v="5"/>
    <x v="1"/>
    <x v="1"/>
    <x v="2"/>
  </r>
  <r>
    <s v="Build"/>
    <n v="15"/>
    <x v="11"/>
    <x v="16"/>
    <x v="5"/>
    <x v="1"/>
    <x v="1"/>
    <x v="2"/>
  </r>
  <r>
    <s v="Build"/>
    <n v="15"/>
    <x v="11"/>
    <x v="11"/>
    <x v="5"/>
    <x v="1"/>
    <x v="1"/>
    <x v="2"/>
  </r>
  <r>
    <s v="Build"/>
    <n v="15"/>
    <x v="11"/>
    <x v="14"/>
    <x v="5"/>
    <x v="1"/>
    <x v="1"/>
    <x v="2"/>
  </r>
  <r>
    <s v="Build"/>
    <n v="15"/>
    <x v="11"/>
    <x v="3"/>
    <x v="5"/>
    <x v="1"/>
    <x v="1"/>
    <x v="2"/>
  </r>
  <r>
    <s v="Build"/>
    <n v="15"/>
    <x v="11"/>
    <x v="10"/>
    <x v="5"/>
    <x v="1"/>
    <x v="1"/>
    <x v="2"/>
  </r>
  <r>
    <s v="Build"/>
    <n v="15"/>
    <x v="11"/>
    <x v="12"/>
    <x v="5"/>
    <x v="1"/>
    <x v="1"/>
    <x v="2"/>
  </r>
  <r>
    <s v="Build"/>
    <n v="15"/>
    <x v="11"/>
    <x v="13"/>
    <x v="5"/>
    <x v="1"/>
    <x v="1"/>
    <x v="2"/>
  </r>
  <r>
    <s v="Build"/>
    <n v="15"/>
    <x v="11"/>
    <x v="7"/>
    <x v="5"/>
    <x v="1"/>
    <x v="1"/>
    <x v="2"/>
  </r>
  <r>
    <s v="Build"/>
    <n v="15"/>
    <x v="11"/>
    <x v="8"/>
    <x v="5"/>
    <x v="1"/>
    <x v="1"/>
    <x v="2"/>
  </r>
  <r>
    <s v="Build"/>
    <n v="15"/>
    <x v="11"/>
    <x v="15"/>
    <x v="5"/>
    <x v="1"/>
    <x v="1"/>
    <x v="2"/>
  </r>
  <r>
    <s v="Build"/>
    <n v="15"/>
    <x v="12"/>
    <x v="0"/>
    <x v="6"/>
    <x v="0"/>
    <x v="0"/>
    <x v="3"/>
  </r>
  <r>
    <s v="Build"/>
    <n v="15"/>
    <x v="12"/>
    <x v="1"/>
    <x v="6"/>
    <x v="0"/>
    <x v="0"/>
    <x v="3"/>
  </r>
  <r>
    <s v="Build"/>
    <n v="15"/>
    <x v="12"/>
    <x v="2"/>
    <x v="6"/>
    <x v="0"/>
    <x v="0"/>
    <x v="3"/>
  </r>
  <r>
    <s v="Build"/>
    <n v="15"/>
    <x v="12"/>
    <x v="17"/>
    <x v="6"/>
    <x v="0"/>
    <x v="0"/>
    <x v="3"/>
  </r>
  <r>
    <s v="Build"/>
    <n v="15"/>
    <x v="12"/>
    <x v="3"/>
    <x v="6"/>
    <x v="0"/>
    <x v="0"/>
    <x v="3"/>
  </r>
  <r>
    <s v="Build"/>
    <n v="15"/>
    <x v="12"/>
    <x v="4"/>
    <x v="6"/>
    <x v="0"/>
    <x v="0"/>
    <x v="3"/>
  </r>
  <r>
    <s v="Build"/>
    <n v="15"/>
    <x v="12"/>
    <x v="5"/>
    <x v="6"/>
    <x v="0"/>
    <x v="0"/>
    <x v="3"/>
  </r>
  <r>
    <s v="Build"/>
    <n v="15"/>
    <x v="12"/>
    <x v="6"/>
    <x v="6"/>
    <x v="0"/>
    <x v="0"/>
    <x v="3"/>
  </r>
  <r>
    <s v="Build"/>
    <n v="15"/>
    <x v="12"/>
    <x v="7"/>
    <x v="6"/>
    <x v="0"/>
    <x v="0"/>
    <x v="3"/>
  </r>
  <r>
    <s v="Build"/>
    <n v="15"/>
    <x v="12"/>
    <x v="8"/>
    <x v="6"/>
    <x v="0"/>
    <x v="0"/>
    <x v="3"/>
  </r>
  <r>
    <s v="Build"/>
    <n v="15"/>
    <x v="12"/>
    <x v="15"/>
    <x v="6"/>
    <x v="0"/>
    <x v="0"/>
    <x v="3"/>
  </r>
  <r>
    <s v="Build"/>
    <n v="15"/>
    <x v="13"/>
    <x v="0"/>
    <x v="6"/>
    <x v="1"/>
    <x v="0"/>
    <x v="3"/>
  </r>
  <r>
    <s v="Build"/>
    <n v="15"/>
    <x v="13"/>
    <x v="1"/>
    <x v="6"/>
    <x v="1"/>
    <x v="0"/>
    <x v="3"/>
  </r>
  <r>
    <s v="Build"/>
    <n v="15"/>
    <x v="13"/>
    <x v="2"/>
    <x v="6"/>
    <x v="1"/>
    <x v="0"/>
    <x v="3"/>
  </r>
  <r>
    <s v="Build"/>
    <n v="15"/>
    <x v="13"/>
    <x v="17"/>
    <x v="6"/>
    <x v="1"/>
    <x v="0"/>
    <x v="3"/>
  </r>
  <r>
    <s v="Build"/>
    <n v="15"/>
    <x v="13"/>
    <x v="3"/>
    <x v="6"/>
    <x v="1"/>
    <x v="0"/>
    <x v="3"/>
  </r>
  <r>
    <s v="Build"/>
    <n v="15"/>
    <x v="13"/>
    <x v="10"/>
    <x v="6"/>
    <x v="1"/>
    <x v="0"/>
    <x v="3"/>
  </r>
  <r>
    <s v="Build"/>
    <n v="15"/>
    <x v="13"/>
    <x v="5"/>
    <x v="6"/>
    <x v="1"/>
    <x v="0"/>
    <x v="3"/>
  </r>
  <r>
    <s v="Build"/>
    <n v="15"/>
    <x v="13"/>
    <x v="6"/>
    <x v="6"/>
    <x v="1"/>
    <x v="0"/>
    <x v="3"/>
  </r>
  <r>
    <s v="Build"/>
    <n v="15"/>
    <x v="13"/>
    <x v="7"/>
    <x v="6"/>
    <x v="1"/>
    <x v="0"/>
    <x v="3"/>
  </r>
  <r>
    <s v="Build"/>
    <n v="15"/>
    <x v="13"/>
    <x v="8"/>
    <x v="6"/>
    <x v="1"/>
    <x v="0"/>
    <x v="3"/>
  </r>
  <r>
    <s v="Build"/>
    <n v="15"/>
    <x v="13"/>
    <x v="15"/>
    <x v="6"/>
    <x v="1"/>
    <x v="0"/>
    <x v="3"/>
  </r>
  <r>
    <s v="Build"/>
    <n v="15"/>
    <x v="14"/>
    <x v="0"/>
    <x v="7"/>
    <x v="0"/>
    <x v="1"/>
    <x v="3"/>
  </r>
  <r>
    <s v="Build"/>
    <n v="15"/>
    <x v="14"/>
    <x v="1"/>
    <x v="7"/>
    <x v="0"/>
    <x v="1"/>
    <x v="3"/>
  </r>
  <r>
    <s v="Build"/>
    <n v="15"/>
    <x v="14"/>
    <x v="2"/>
    <x v="7"/>
    <x v="0"/>
    <x v="1"/>
    <x v="3"/>
  </r>
  <r>
    <s v="Build"/>
    <n v="15"/>
    <x v="14"/>
    <x v="11"/>
    <x v="7"/>
    <x v="0"/>
    <x v="1"/>
    <x v="3"/>
  </r>
  <r>
    <s v="Build"/>
    <n v="15"/>
    <x v="14"/>
    <x v="17"/>
    <x v="7"/>
    <x v="0"/>
    <x v="1"/>
    <x v="3"/>
  </r>
  <r>
    <s v="Build"/>
    <n v="15"/>
    <x v="14"/>
    <x v="3"/>
    <x v="7"/>
    <x v="0"/>
    <x v="1"/>
    <x v="3"/>
  </r>
  <r>
    <s v="Build"/>
    <n v="15"/>
    <x v="14"/>
    <x v="4"/>
    <x v="7"/>
    <x v="0"/>
    <x v="1"/>
    <x v="3"/>
  </r>
  <r>
    <s v="Build"/>
    <n v="15"/>
    <x v="14"/>
    <x v="12"/>
    <x v="7"/>
    <x v="0"/>
    <x v="1"/>
    <x v="3"/>
  </r>
  <r>
    <s v="Build"/>
    <n v="15"/>
    <x v="14"/>
    <x v="13"/>
    <x v="7"/>
    <x v="0"/>
    <x v="1"/>
    <x v="3"/>
  </r>
  <r>
    <s v="Build"/>
    <n v="15"/>
    <x v="14"/>
    <x v="7"/>
    <x v="7"/>
    <x v="0"/>
    <x v="1"/>
    <x v="3"/>
  </r>
  <r>
    <s v="Build"/>
    <n v="15"/>
    <x v="14"/>
    <x v="8"/>
    <x v="7"/>
    <x v="0"/>
    <x v="1"/>
    <x v="3"/>
  </r>
  <r>
    <s v="Build"/>
    <n v="15"/>
    <x v="14"/>
    <x v="15"/>
    <x v="7"/>
    <x v="0"/>
    <x v="1"/>
    <x v="3"/>
  </r>
  <r>
    <s v="Build"/>
    <n v="15"/>
    <x v="15"/>
    <x v="0"/>
    <x v="7"/>
    <x v="1"/>
    <x v="1"/>
    <x v="3"/>
  </r>
  <r>
    <s v="Build"/>
    <n v="15"/>
    <x v="15"/>
    <x v="1"/>
    <x v="7"/>
    <x v="1"/>
    <x v="1"/>
    <x v="3"/>
  </r>
  <r>
    <s v="Build"/>
    <n v="15"/>
    <x v="15"/>
    <x v="2"/>
    <x v="7"/>
    <x v="1"/>
    <x v="1"/>
    <x v="3"/>
  </r>
  <r>
    <s v="Build"/>
    <n v="15"/>
    <x v="15"/>
    <x v="11"/>
    <x v="7"/>
    <x v="1"/>
    <x v="1"/>
    <x v="3"/>
  </r>
  <r>
    <s v="Build"/>
    <n v="15"/>
    <x v="15"/>
    <x v="17"/>
    <x v="7"/>
    <x v="1"/>
    <x v="1"/>
    <x v="3"/>
  </r>
  <r>
    <s v="Build"/>
    <n v="15"/>
    <x v="15"/>
    <x v="3"/>
    <x v="7"/>
    <x v="1"/>
    <x v="1"/>
    <x v="3"/>
  </r>
  <r>
    <s v="Build"/>
    <n v="15"/>
    <x v="15"/>
    <x v="10"/>
    <x v="7"/>
    <x v="1"/>
    <x v="1"/>
    <x v="3"/>
  </r>
  <r>
    <s v="Build"/>
    <n v="15"/>
    <x v="15"/>
    <x v="12"/>
    <x v="7"/>
    <x v="1"/>
    <x v="1"/>
    <x v="3"/>
  </r>
  <r>
    <s v="Build"/>
    <n v="15"/>
    <x v="15"/>
    <x v="13"/>
    <x v="7"/>
    <x v="1"/>
    <x v="1"/>
    <x v="3"/>
  </r>
  <r>
    <s v="Build"/>
    <n v="15"/>
    <x v="15"/>
    <x v="7"/>
    <x v="7"/>
    <x v="1"/>
    <x v="1"/>
    <x v="3"/>
  </r>
  <r>
    <s v="Build"/>
    <n v="15"/>
    <x v="15"/>
    <x v="8"/>
    <x v="7"/>
    <x v="1"/>
    <x v="1"/>
    <x v="3"/>
  </r>
  <r>
    <s v="Build"/>
    <n v="15"/>
    <x v="15"/>
    <x v="15"/>
    <x v="7"/>
    <x v="1"/>
    <x v="1"/>
    <x v="3"/>
  </r>
  <r>
    <s v="Build"/>
    <n v="15"/>
    <x v="16"/>
    <x v="0"/>
    <x v="8"/>
    <x v="0"/>
    <x v="0"/>
    <x v="4"/>
  </r>
  <r>
    <s v="Build"/>
    <n v="15"/>
    <x v="16"/>
    <x v="1"/>
    <x v="8"/>
    <x v="0"/>
    <x v="0"/>
    <x v="4"/>
  </r>
  <r>
    <s v="Build"/>
    <n v="15"/>
    <x v="16"/>
    <x v="16"/>
    <x v="8"/>
    <x v="0"/>
    <x v="0"/>
    <x v="4"/>
  </r>
  <r>
    <s v="Build"/>
    <n v="15"/>
    <x v="16"/>
    <x v="17"/>
    <x v="8"/>
    <x v="0"/>
    <x v="0"/>
    <x v="4"/>
  </r>
  <r>
    <s v="Build"/>
    <n v="15"/>
    <x v="16"/>
    <x v="3"/>
    <x v="8"/>
    <x v="0"/>
    <x v="0"/>
    <x v="4"/>
  </r>
  <r>
    <s v="Build"/>
    <n v="15"/>
    <x v="16"/>
    <x v="4"/>
    <x v="8"/>
    <x v="0"/>
    <x v="0"/>
    <x v="4"/>
  </r>
  <r>
    <s v="Build"/>
    <n v="15"/>
    <x v="16"/>
    <x v="5"/>
    <x v="8"/>
    <x v="0"/>
    <x v="0"/>
    <x v="4"/>
  </r>
  <r>
    <s v="Build"/>
    <n v="15"/>
    <x v="16"/>
    <x v="6"/>
    <x v="8"/>
    <x v="0"/>
    <x v="0"/>
    <x v="4"/>
  </r>
  <r>
    <s v="Build"/>
    <n v="15"/>
    <x v="16"/>
    <x v="7"/>
    <x v="8"/>
    <x v="0"/>
    <x v="0"/>
    <x v="4"/>
  </r>
  <r>
    <s v="Build"/>
    <n v="15"/>
    <x v="16"/>
    <x v="8"/>
    <x v="8"/>
    <x v="0"/>
    <x v="0"/>
    <x v="4"/>
  </r>
  <r>
    <s v="Build"/>
    <n v="15"/>
    <x v="16"/>
    <x v="15"/>
    <x v="8"/>
    <x v="0"/>
    <x v="0"/>
    <x v="4"/>
  </r>
  <r>
    <s v="Build"/>
    <n v="15"/>
    <x v="17"/>
    <x v="0"/>
    <x v="8"/>
    <x v="1"/>
    <x v="0"/>
    <x v="4"/>
  </r>
  <r>
    <s v="Build"/>
    <n v="15"/>
    <x v="17"/>
    <x v="1"/>
    <x v="8"/>
    <x v="1"/>
    <x v="0"/>
    <x v="4"/>
  </r>
  <r>
    <s v="Build"/>
    <n v="15"/>
    <x v="17"/>
    <x v="16"/>
    <x v="8"/>
    <x v="1"/>
    <x v="0"/>
    <x v="4"/>
  </r>
  <r>
    <s v="Build"/>
    <n v="15"/>
    <x v="17"/>
    <x v="17"/>
    <x v="8"/>
    <x v="1"/>
    <x v="0"/>
    <x v="4"/>
  </r>
  <r>
    <s v="Build"/>
    <n v="15"/>
    <x v="17"/>
    <x v="3"/>
    <x v="8"/>
    <x v="1"/>
    <x v="0"/>
    <x v="4"/>
  </r>
  <r>
    <s v="Build"/>
    <n v="15"/>
    <x v="17"/>
    <x v="10"/>
    <x v="8"/>
    <x v="1"/>
    <x v="0"/>
    <x v="4"/>
  </r>
  <r>
    <s v="Build"/>
    <n v="15"/>
    <x v="17"/>
    <x v="5"/>
    <x v="8"/>
    <x v="1"/>
    <x v="0"/>
    <x v="4"/>
  </r>
  <r>
    <s v="Build"/>
    <n v="15"/>
    <x v="17"/>
    <x v="6"/>
    <x v="8"/>
    <x v="1"/>
    <x v="0"/>
    <x v="4"/>
  </r>
  <r>
    <s v="Build"/>
    <n v="15"/>
    <x v="17"/>
    <x v="7"/>
    <x v="8"/>
    <x v="1"/>
    <x v="0"/>
    <x v="4"/>
  </r>
  <r>
    <s v="Build"/>
    <n v="15"/>
    <x v="17"/>
    <x v="8"/>
    <x v="8"/>
    <x v="1"/>
    <x v="0"/>
    <x v="4"/>
  </r>
  <r>
    <s v="Build"/>
    <n v="15"/>
    <x v="17"/>
    <x v="15"/>
    <x v="8"/>
    <x v="1"/>
    <x v="0"/>
    <x v="4"/>
  </r>
  <r>
    <s v="Build"/>
    <n v="15"/>
    <x v="18"/>
    <x v="0"/>
    <x v="9"/>
    <x v="0"/>
    <x v="1"/>
    <x v="4"/>
  </r>
  <r>
    <s v="Build"/>
    <n v="15"/>
    <x v="18"/>
    <x v="1"/>
    <x v="9"/>
    <x v="0"/>
    <x v="1"/>
    <x v="4"/>
  </r>
  <r>
    <s v="Build"/>
    <n v="15"/>
    <x v="18"/>
    <x v="16"/>
    <x v="9"/>
    <x v="0"/>
    <x v="1"/>
    <x v="4"/>
  </r>
  <r>
    <s v="Build"/>
    <n v="15"/>
    <x v="18"/>
    <x v="11"/>
    <x v="9"/>
    <x v="0"/>
    <x v="1"/>
    <x v="4"/>
  </r>
  <r>
    <s v="Build"/>
    <n v="15"/>
    <x v="18"/>
    <x v="17"/>
    <x v="9"/>
    <x v="0"/>
    <x v="1"/>
    <x v="4"/>
  </r>
  <r>
    <s v="Build"/>
    <n v="15"/>
    <x v="18"/>
    <x v="3"/>
    <x v="9"/>
    <x v="0"/>
    <x v="1"/>
    <x v="4"/>
  </r>
  <r>
    <s v="Build"/>
    <n v="15"/>
    <x v="18"/>
    <x v="4"/>
    <x v="9"/>
    <x v="0"/>
    <x v="1"/>
    <x v="4"/>
  </r>
  <r>
    <s v="Build"/>
    <n v="15"/>
    <x v="18"/>
    <x v="12"/>
    <x v="9"/>
    <x v="0"/>
    <x v="1"/>
    <x v="4"/>
  </r>
  <r>
    <s v="Build"/>
    <n v="15"/>
    <x v="18"/>
    <x v="13"/>
    <x v="9"/>
    <x v="0"/>
    <x v="1"/>
    <x v="4"/>
  </r>
  <r>
    <s v="Build"/>
    <n v="15"/>
    <x v="18"/>
    <x v="7"/>
    <x v="9"/>
    <x v="0"/>
    <x v="1"/>
    <x v="4"/>
  </r>
  <r>
    <s v="Build"/>
    <n v="15"/>
    <x v="18"/>
    <x v="8"/>
    <x v="9"/>
    <x v="0"/>
    <x v="1"/>
    <x v="4"/>
  </r>
  <r>
    <s v="Build"/>
    <n v="15"/>
    <x v="18"/>
    <x v="15"/>
    <x v="9"/>
    <x v="0"/>
    <x v="1"/>
    <x v="4"/>
  </r>
  <r>
    <s v="Build"/>
    <n v="15"/>
    <x v="19"/>
    <x v="0"/>
    <x v="9"/>
    <x v="1"/>
    <x v="1"/>
    <x v="4"/>
  </r>
  <r>
    <s v="Build"/>
    <n v="15"/>
    <x v="19"/>
    <x v="1"/>
    <x v="9"/>
    <x v="1"/>
    <x v="1"/>
    <x v="4"/>
  </r>
  <r>
    <s v="Build"/>
    <n v="15"/>
    <x v="19"/>
    <x v="16"/>
    <x v="9"/>
    <x v="1"/>
    <x v="1"/>
    <x v="4"/>
  </r>
  <r>
    <s v="Build"/>
    <n v="15"/>
    <x v="19"/>
    <x v="11"/>
    <x v="9"/>
    <x v="1"/>
    <x v="1"/>
    <x v="4"/>
  </r>
  <r>
    <s v="Build"/>
    <n v="15"/>
    <x v="19"/>
    <x v="17"/>
    <x v="9"/>
    <x v="1"/>
    <x v="1"/>
    <x v="4"/>
  </r>
  <r>
    <s v="Build"/>
    <n v="15"/>
    <x v="19"/>
    <x v="3"/>
    <x v="9"/>
    <x v="1"/>
    <x v="1"/>
    <x v="4"/>
  </r>
  <r>
    <s v="Build"/>
    <n v="15"/>
    <x v="19"/>
    <x v="10"/>
    <x v="9"/>
    <x v="1"/>
    <x v="1"/>
    <x v="4"/>
  </r>
  <r>
    <s v="Build"/>
    <n v="15"/>
    <x v="19"/>
    <x v="12"/>
    <x v="9"/>
    <x v="1"/>
    <x v="1"/>
    <x v="4"/>
  </r>
  <r>
    <s v="Build"/>
    <n v="15"/>
    <x v="19"/>
    <x v="13"/>
    <x v="9"/>
    <x v="1"/>
    <x v="1"/>
    <x v="4"/>
  </r>
  <r>
    <s v="Build"/>
    <n v="15"/>
    <x v="19"/>
    <x v="7"/>
    <x v="9"/>
    <x v="1"/>
    <x v="1"/>
    <x v="4"/>
  </r>
  <r>
    <s v="Build"/>
    <n v="15"/>
    <x v="19"/>
    <x v="8"/>
    <x v="9"/>
    <x v="1"/>
    <x v="1"/>
    <x v="4"/>
  </r>
  <r>
    <s v="Build"/>
    <n v="15"/>
    <x v="19"/>
    <x v="15"/>
    <x v="9"/>
    <x v="1"/>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T31" firstHeaderRow="1" firstDataRow="2" firstDataCol="1"/>
  <pivotFields count="8">
    <pivotField showAll="0"/>
    <pivotField dataField="1" showAll="0"/>
    <pivotField showAll="0">
      <items count="21">
        <item x="0"/>
        <item x="1"/>
        <item x="2"/>
        <item x="3"/>
        <item x="4"/>
        <item x="5"/>
        <item x="6"/>
        <item x="7"/>
        <item x="8"/>
        <item x="9"/>
        <item x="10"/>
        <item x="11"/>
        <item x="12"/>
        <item x="13"/>
        <item x="14"/>
        <item x="15"/>
        <item x="16"/>
        <item x="17"/>
        <item x="18"/>
        <item x="19"/>
        <item t="default"/>
      </items>
    </pivotField>
    <pivotField axis="axisCol" showAll="0">
      <items count="19">
        <item n="SasToolkitCustomBuild.props" x="1"/>
        <item n="StcProcVersionInfo.props" x="0"/>
        <item n="StcProcCompileCommon.props" x="7"/>
        <item n="StcProcLinkCommon.props" x="8"/>
        <item n="StcProcDebugCommon.props" x="9"/>
        <item n="StcProcReleaseCommon.props" x="15"/>
        <item n="StcProcReleaseEXT.props" x="14"/>
        <item n="StcProcReleaseSTC.props" x="17"/>
        <item x="3"/>
        <item n="StcProcGEQm5.props" x="11"/>
        <item n="SasToolkitCompileGEQm5.props" x="12"/>
        <item x="13"/>
        <item x="6"/>
        <item n="SasToolkitCompileLEQm4.props" x="5"/>
        <item n="SasToolkitX86Common.props" x="4"/>
        <item n="SasToolkitX64Common.props" x="10"/>
        <item x="2"/>
        <item x="16"/>
        <item t="default"/>
      </items>
    </pivotField>
    <pivotField showAll="0" defaultSubtotal="0">
      <items count="10">
        <item x="0"/>
        <item x="1"/>
        <item x="2"/>
        <item x="3"/>
        <item x="4"/>
        <item x="5"/>
        <item x="6"/>
        <item x="7"/>
        <item x="8"/>
        <item x="9"/>
      </items>
    </pivotField>
    <pivotField axis="axisRow" showAll="0" defaultSubtotal="0">
      <items count="2">
        <item x="0"/>
        <item x="1"/>
      </items>
    </pivotField>
    <pivotField axis="axisRow" showAll="0" defaultSubtotal="0">
      <items count="2">
        <item x="0"/>
        <item x="1"/>
      </items>
    </pivotField>
    <pivotField axis="axisRow" showAll="0" defaultSubtotal="0">
      <items count="5">
        <item x="0"/>
        <item x="1"/>
        <item x="2"/>
        <item x="3"/>
        <item x="4"/>
      </items>
    </pivotField>
  </pivotFields>
  <rowFields count="3">
    <field x="6"/>
    <field x="5"/>
    <field x="7"/>
  </rowFields>
  <rowItems count="27">
    <i>
      <x/>
    </i>
    <i r="1">
      <x/>
    </i>
    <i r="2">
      <x/>
    </i>
    <i r="2">
      <x v="1"/>
    </i>
    <i r="2">
      <x v="2"/>
    </i>
    <i r="2">
      <x v="3"/>
    </i>
    <i r="2">
      <x v="4"/>
    </i>
    <i r="1">
      <x v="1"/>
    </i>
    <i r="2">
      <x/>
    </i>
    <i r="2">
      <x v="1"/>
    </i>
    <i r="2">
      <x v="2"/>
    </i>
    <i r="2">
      <x v="3"/>
    </i>
    <i r="2">
      <x v="4"/>
    </i>
    <i>
      <x v="1"/>
    </i>
    <i r="1">
      <x/>
    </i>
    <i r="2">
      <x/>
    </i>
    <i r="2">
      <x v="1"/>
    </i>
    <i r="2">
      <x v="2"/>
    </i>
    <i r="2">
      <x v="3"/>
    </i>
    <i r="2">
      <x v="4"/>
    </i>
    <i r="1">
      <x v="1"/>
    </i>
    <i r="2">
      <x/>
    </i>
    <i r="2">
      <x v="1"/>
    </i>
    <i r="2">
      <x v="2"/>
    </i>
    <i r="2">
      <x v="3"/>
    </i>
    <i r="2">
      <x v="4"/>
    </i>
    <i t="grand">
      <x/>
    </i>
  </rowItems>
  <colFields count="1">
    <field x="3"/>
  </colFields>
  <colItems count="19">
    <i>
      <x/>
    </i>
    <i>
      <x v="1"/>
    </i>
    <i>
      <x v="2"/>
    </i>
    <i>
      <x v="3"/>
    </i>
    <i>
      <x v="4"/>
    </i>
    <i>
      <x v="5"/>
    </i>
    <i>
      <x v="6"/>
    </i>
    <i>
      <x v="7"/>
    </i>
    <i>
      <x v="8"/>
    </i>
    <i>
      <x v="9"/>
    </i>
    <i>
      <x v="10"/>
    </i>
    <i>
      <x v="11"/>
    </i>
    <i>
      <x v="12"/>
    </i>
    <i>
      <x v="13"/>
    </i>
    <i>
      <x v="14"/>
    </i>
    <i>
      <x v="15"/>
    </i>
    <i>
      <x v="16"/>
    </i>
    <i>
      <x v="17"/>
    </i>
    <i t="grand">
      <x/>
    </i>
  </colItems>
  <dataFields count="1">
    <dataField name="Count of ToolsVersion" fld="1" subtotal="count" baseField="2" baseItem="8"/>
  </dataFields>
  <formats count="178">
    <format dxfId="2495">
      <pivotArea dataOnly="0" labelOnly="1" fieldPosition="0">
        <references count="1">
          <reference field="3" count="0"/>
        </references>
      </pivotArea>
    </format>
    <format dxfId="2494">
      <pivotArea outline="0" collapsedLevelsAreSubtotals="1" fieldPosition="0">
        <references count="1">
          <reference field="3" count="1" selected="0">
            <x v="11"/>
          </reference>
        </references>
      </pivotArea>
    </format>
    <format dxfId="2493">
      <pivotArea outline="0" collapsedLevelsAreSubtotals="1" fieldPosition="0">
        <references count="1">
          <reference field="3" count="1" selected="0">
            <x v="12"/>
          </reference>
        </references>
      </pivotArea>
    </format>
    <format dxfId="2492">
      <pivotArea outline="0" collapsedLevelsAreSubtotals="1" fieldPosition="0">
        <references count="1">
          <reference field="3" count="1" selected="0">
            <x v="10"/>
          </reference>
        </references>
      </pivotArea>
    </format>
    <format dxfId="2491">
      <pivotArea outline="0" collapsedLevelsAreSubtotals="1" fieldPosition="0">
        <references count="1">
          <reference field="3" count="1" selected="0">
            <x v="13"/>
          </reference>
        </references>
      </pivotArea>
    </format>
    <format dxfId="2490">
      <pivotArea type="topRight" dataOnly="0" labelOnly="1" outline="0" offset="H1" fieldPosition="0"/>
    </format>
    <format dxfId="2489">
      <pivotArea outline="0" collapsedLevelsAreSubtotals="1" fieldPosition="0">
        <references count="1">
          <reference field="3" count="2" selected="0">
            <x v="12"/>
            <x v="13"/>
          </reference>
        </references>
      </pivotArea>
    </format>
    <format dxfId="2488">
      <pivotArea type="topRight" dataOnly="0" labelOnly="1" outline="0" offset="L1:M1" fieldPosition="0"/>
    </format>
    <format dxfId="2487">
      <pivotArea dataOnly="0" labelOnly="1" fieldPosition="0">
        <references count="1">
          <reference field="3" count="2">
            <x v="12"/>
            <x v="13"/>
          </reference>
        </references>
      </pivotArea>
    </format>
    <format dxfId="2486">
      <pivotArea outline="0" collapsedLevelsAreSubtotals="1" fieldPosition="0">
        <references count="1">
          <reference field="3" count="2" selected="0">
            <x v="10"/>
            <x v="11"/>
          </reference>
        </references>
      </pivotArea>
    </format>
    <format dxfId="2485">
      <pivotArea type="topRight" dataOnly="0" labelOnly="1" outline="0" offset="J1:K1" fieldPosition="0"/>
    </format>
    <format dxfId="2484">
      <pivotArea dataOnly="0" labelOnly="1" fieldPosition="0">
        <references count="1">
          <reference field="3" count="2">
            <x v="10"/>
            <x v="11"/>
          </reference>
        </references>
      </pivotArea>
    </format>
    <format dxfId="2483">
      <pivotArea outline="0" collapsedLevelsAreSubtotals="1" fieldPosition="0">
        <references count="1">
          <reference field="3" count="3" selected="0">
            <x v="9"/>
            <x v="10"/>
            <x v="11"/>
          </reference>
        </references>
      </pivotArea>
    </format>
    <format dxfId="2482">
      <pivotArea outline="0" collapsedLevelsAreSubtotals="1" fieldPosition="0">
        <references count="1">
          <reference field="3" count="3" selected="0">
            <x v="9"/>
            <x v="10"/>
            <x v="11"/>
          </reference>
        </references>
      </pivotArea>
    </format>
    <format dxfId="2481">
      <pivotArea outline="0" collapsedLevelsAreSubtotals="1" fieldPosition="0">
        <references count="1">
          <reference field="3" count="2" selected="0">
            <x v="12"/>
            <x v="13"/>
          </reference>
        </references>
      </pivotArea>
    </format>
    <format dxfId="2480">
      <pivotArea outline="0" collapsedLevelsAreSubtotals="1" fieldPosition="0">
        <references count="1">
          <reference field="3" count="2" selected="0">
            <x v="12"/>
            <x v="13"/>
          </reference>
        </references>
      </pivotArea>
    </format>
    <format dxfId="2479">
      <pivotArea type="topRight" dataOnly="0" labelOnly="1" outline="0" offset="I1:M1" fieldPosition="0"/>
    </format>
    <format dxfId="2478">
      <pivotArea dataOnly="0" labelOnly="1" fieldPosition="0">
        <references count="1">
          <reference field="3" count="5">
            <x v="9"/>
            <x v="10"/>
            <x v="11"/>
            <x v="12"/>
            <x v="13"/>
          </reference>
        </references>
      </pivotArea>
    </format>
    <format dxfId="2477">
      <pivotArea outline="0" collapsedLevelsAreSubtotals="1" fieldPosition="0">
        <references count="1">
          <reference field="3" count="4" selected="0">
            <x v="0"/>
            <x v="1"/>
            <x v="2"/>
            <x v="3"/>
          </reference>
        </references>
      </pivotArea>
    </format>
    <format dxfId="2476">
      <pivotArea dataOnly="0" labelOnly="1" fieldPosition="0">
        <references count="1">
          <reference field="3" count="4">
            <x v="0"/>
            <x v="1"/>
            <x v="2"/>
            <x v="3"/>
          </reference>
        </references>
      </pivotArea>
    </format>
    <format dxfId="2475">
      <pivotArea outline="0" collapsedLevelsAreSubtotals="1" fieldPosition="0">
        <references count="1">
          <reference field="3" count="8" selected="0">
            <x v="8"/>
            <x v="9"/>
            <x v="10"/>
            <x v="11"/>
            <x v="12"/>
            <x v="13"/>
            <x v="14"/>
            <x v="15"/>
          </reference>
        </references>
      </pivotArea>
    </format>
    <format dxfId="2474">
      <pivotArea dataOnly="0" labelOnly="1" fieldPosition="0">
        <references count="1">
          <reference field="3" count="8">
            <x v="8"/>
            <x v="9"/>
            <x v="10"/>
            <x v="11"/>
            <x v="12"/>
            <x v="13"/>
            <x v="14"/>
            <x v="15"/>
          </reference>
        </references>
      </pivotArea>
    </format>
    <format dxfId="2473">
      <pivotArea outline="0" collapsedLevelsAreSubtotals="1" fieldPosition="0">
        <references count="1">
          <reference field="3" count="2" selected="0">
            <x v="16"/>
            <x v="17"/>
          </reference>
        </references>
      </pivotArea>
    </format>
    <format dxfId="2472">
      <pivotArea dataOnly="0" labelOnly="1" fieldPosition="0">
        <references count="1">
          <reference field="3" count="2">
            <x v="16"/>
            <x v="17"/>
          </reference>
        </references>
      </pivotArea>
    </format>
    <format dxfId="2471">
      <pivotArea outline="0" collapsedLevelsAreSubtotals="1" fieldPosition="0">
        <references count="1">
          <reference field="3" count="4" selected="0">
            <x v="4"/>
            <x v="5"/>
            <x v="6"/>
            <x v="7"/>
          </reference>
        </references>
      </pivotArea>
    </format>
    <format dxfId="2470">
      <pivotArea dataOnly="0" labelOnly="1" fieldPosition="0">
        <references count="1">
          <reference field="3" count="4">
            <x v="4"/>
            <x v="5"/>
            <x v="6"/>
            <x v="7"/>
          </reference>
        </references>
      </pivotArea>
    </format>
    <format dxfId="2469">
      <pivotArea dataOnly="0" labelOnly="1" fieldPosition="0">
        <references count="1">
          <reference field="3" count="0"/>
        </references>
      </pivotArea>
    </format>
    <format dxfId="2468">
      <pivotArea outline="0" collapsedLevelsAreSubtotals="1" fieldPosition="0"/>
    </format>
    <format dxfId="2467">
      <pivotArea dataOnly="0" labelOnly="1" grandRow="1" outline="0" fieldPosition="0"/>
    </format>
    <format dxfId="2466">
      <pivotArea outline="0" collapsedLevelsAreSubtotals="1" fieldPosition="0">
        <references count="1">
          <reference field="3" count="11" selected="0">
            <x v="7"/>
            <x v="8"/>
            <x v="9"/>
            <x v="10"/>
            <x v="11"/>
            <x v="12"/>
            <x v="13"/>
            <x v="14"/>
            <x v="15"/>
            <x v="16"/>
            <x v="17"/>
          </reference>
        </references>
      </pivotArea>
    </format>
    <format dxfId="2465">
      <pivotArea grandCol="1" outline="0" collapsedLevelsAreSubtotals="1" fieldPosition="0"/>
    </format>
    <format dxfId="2464">
      <pivotArea type="topRight" dataOnly="0" labelOnly="1" outline="0" offset="G1:R1" fieldPosition="0"/>
    </format>
    <format dxfId="2463">
      <pivotArea dataOnly="0" labelOnly="1" fieldPosition="0">
        <references count="1">
          <reference field="3" count="11">
            <x v="7"/>
            <x v="8"/>
            <x v="9"/>
            <x v="10"/>
            <x v="11"/>
            <x v="12"/>
            <x v="13"/>
            <x v="14"/>
            <x v="15"/>
            <x v="16"/>
            <x v="17"/>
          </reference>
        </references>
      </pivotArea>
    </format>
    <format dxfId="2462">
      <pivotArea dataOnly="0" labelOnly="1" grandCol="1" outline="0" fieldPosition="0"/>
    </format>
    <format dxfId="2461">
      <pivotArea outline="0" collapsedLevelsAreSubtotals="1" fieldPosition="0">
        <references count="1">
          <reference field="3" count="11" selected="0">
            <x v="7"/>
            <x v="8"/>
            <x v="9"/>
            <x v="10"/>
            <x v="11"/>
            <x v="12"/>
            <x v="13"/>
            <x v="14"/>
            <x v="15"/>
            <x v="16"/>
            <x v="17"/>
          </reference>
        </references>
      </pivotArea>
    </format>
    <format dxfId="2460">
      <pivotArea grandCol="1" outline="0" collapsedLevelsAreSubtotals="1" fieldPosition="0"/>
    </format>
    <format dxfId="2459">
      <pivotArea field="2" type="button" dataOnly="0" labelOnly="1" outline="0"/>
    </format>
    <format dxfId="2458">
      <pivotArea dataOnly="0" labelOnly="1" fieldPosition="0">
        <references count="1">
          <reference field="3" count="0"/>
        </references>
      </pivotArea>
    </format>
    <format dxfId="2457">
      <pivotArea dataOnly="0" labelOnly="1" grandCol="1" outline="0" fieldPosition="0"/>
    </format>
    <format dxfId="2456">
      <pivotArea collapsedLevelsAreSubtotals="1" fieldPosition="0">
        <references count="4">
          <reference field="3" count="2" selected="0">
            <x v="12"/>
            <x v="13"/>
          </reference>
          <reference field="5" count="0"/>
          <reference field="6" count="1" selected="0">
            <x v="0"/>
          </reference>
          <reference field="7" count="1" selected="0">
            <x v="0"/>
          </reference>
        </references>
      </pivotArea>
    </format>
    <format dxfId="2455">
      <pivotArea collapsedLevelsAreSubtotals="1" fieldPosition="0">
        <references count="3">
          <reference field="3" count="2" selected="0">
            <x v="12"/>
            <x v="13"/>
          </reference>
          <reference field="6" count="1" selected="0">
            <x v="0"/>
          </reference>
          <reference field="7" count="1">
            <x v="1"/>
          </reference>
        </references>
      </pivotArea>
    </format>
    <format dxfId="2454">
      <pivotArea collapsedLevelsAreSubtotals="1" fieldPosition="0">
        <references count="4">
          <reference field="3" count="2" selected="0">
            <x v="12"/>
            <x v="13"/>
          </reference>
          <reference field="5" count="0"/>
          <reference field="6" count="1" selected="0">
            <x v="0"/>
          </reference>
          <reference field="7" count="1" selected="0">
            <x v="1"/>
          </reference>
        </references>
      </pivotArea>
    </format>
    <format dxfId="2453">
      <pivotArea collapsedLevelsAreSubtotals="1" fieldPosition="0">
        <references count="3">
          <reference field="3" count="2" selected="0">
            <x v="12"/>
            <x v="13"/>
          </reference>
          <reference field="6" count="1" selected="0">
            <x v="0"/>
          </reference>
          <reference field="7" count="1">
            <x v="2"/>
          </reference>
        </references>
      </pivotArea>
    </format>
    <format dxfId="2452">
      <pivotArea collapsedLevelsAreSubtotals="1" fieldPosition="0">
        <references count="4">
          <reference field="3" count="2" selected="0">
            <x v="12"/>
            <x v="13"/>
          </reference>
          <reference field="5" count="0"/>
          <reference field="6" count="1" selected="0">
            <x v="0"/>
          </reference>
          <reference field="7" count="1" selected="0">
            <x v="2"/>
          </reference>
        </references>
      </pivotArea>
    </format>
    <format dxfId="2451">
      <pivotArea collapsedLevelsAreSubtotals="1" fieldPosition="0">
        <references count="3">
          <reference field="3" count="2" selected="0">
            <x v="12"/>
            <x v="13"/>
          </reference>
          <reference field="6" count="1" selected="0">
            <x v="0"/>
          </reference>
          <reference field="7" count="1">
            <x v="3"/>
          </reference>
        </references>
      </pivotArea>
    </format>
    <format dxfId="2450">
      <pivotArea collapsedLevelsAreSubtotals="1" fieldPosition="0">
        <references count="4">
          <reference field="3" count="2" selected="0">
            <x v="12"/>
            <x v="13"/>
          </reference>
          <reference field="5" count="0"/>
          <reference field="6" count="1" selected="0">
            <x v="0"/>
          </reference>
          <reference field="7" count="1" selected="0">
            <x v="3"/>
          </reference>
        </references>
      </pivotArea>
    </format>
    <format dxfId="2449">
      <pivotArea collapsedLevelsAreSubtotals="1" fieldPosition="0">
        <references count="3">
          <reference field="3" count="2" selected="0">
            <x v="12"/>
            <x v="13"/>
          </reference>
          <reference field="6" count="1" selected="0">
            <x v="0"/>
          </reference>
          <reference field="7" count="1">
            <x v="4"/>
          </reference>
        </references>
      </pivotArea>
    </format>
    <format dxfId="2448">
      <pivotArea collapsedLevelsAreSubtotals="1" fieldPosition="0">
        <references count="4">
          <reference field="3" count="2" selected="0">
            <x v="12"/>
            <x v="13"/>
          </reference>
          <reference field="5" count="0"/>
          <reference field="6" count="1" selected="0">
            <x v="0"/>
          </reference>
          <reference field="7" count="1" selected="0">
            <x v="4"/>
          </reference>
        </references>
      </pivotArea>
    </format>
    <format dxfId="2447">
      <pivotArea dataOnly="0" labelOnly="1" fieldPosition="0">
        <references count="1">
          <reference field="6" count="1">
            <x v="1"/>
          </reference>
        </references>
      </pivotArea>
    </format>
    <format dxfId="2446">
      <pivotArea collapsedLevelsAreSubtotals="1" fieldPosition="0">
        <references count="4">
          <reference field="3" count="3" selected="0">
            <x v="9"/>
            <x v="10"/>
            <x v="11"/>
          </reference>
          <reference field="5" count="0"/>
          <reference field="6" count="1" selected="0">
            <x v="1"/>
          </reference>
          <reference field="7" count="1" selected="0">
            <x v="0"/>
          </reference>
        </references>
      </pivotArea>
    </format>
    <format dxfId="2445">
      <pivotArea collapsedLevelsAreSubtotals="1" fieldPosition="0">
        <references count="4">
          <reference field="3" count="3" selected="0">
            <x v="9"/>
            <x v="10"/>
            <x v="11"/>
          </reference>
          <reference field="5" count="0"/>
          <reference field="6" count="1" selected="0">
            <x v="1"/>
          </reference>
          <reference field="7" count="1" selected="0">
            <x v="1"/>
          </reference>
        </references>
      </pivotArea>
    </format>
    <format dxfId="2444">
      <pivotArea collapsedLevelsAreSubtotals="1" fieldPosition="0">
        <references count="4">
          <reference field="3" count="3" selected="0">
            <x v="9"/>
            <x v="10"/>
            <x v="11"/>
          </reference>
          <reference field="5" count="0"/>
          <reference field="6" count="1" selected="0">
            <x v="1"/>
          </reference>
          <reference field="7" count="1" selected="0">
            <x v="2"/>
          </reference>
        </references>
      </pivotArea>
    </format>
    <format dxfId="2443">
      <pivotArea collapsedLevelsAreSubtotals="1" fieldPosition="0">
        <references count="4">
          <reference field="3" count="3" selected="0">
            <x v="9"/>
            <x v="10"/>
            <x v="11"/>
          </reference>
          <reference field="5" count="0"/>
          <reference field="6" count="1" selected="0">
            <x v="1"/>
          </reference>
          <reference field="7" count="1" selected="0">
            <x v="3"/>
          </reference>
        </references>
      </pivotArea>
    </format>
    <format dxfId="2442">
      <pivotArea collapsedLevelsAreSubtotals="1" fieldPosition="0">
        <references count="4">
          <reference field="3" count="3" selected="0">
            <x v="9"/>
            <x v="10"/>
            <x v="11"/>
          </reference>
          <reference field="5" count="0"/>
          <reference field="6" count="1" selected="0">
            <x v="1"/>
          </reference>
          <reference field="7" count="1" selected="0">
            <x v="4"/>
          </reference>
        </references>
      </pivotArea>
    </format>
    <format dxfId="2441">
      <pivotArea dataOnly="0" labelOnly="1" fieldPosition="0">
        <references count="2">
          <reference field="6" count="1" selected="0">
            <x v="1"/>
          </reference>
          <reference field="7" count="1">
            <x v="0"/>
          </reference>
        </references>
      </pivotArea>
    </format>
    <format dxfId="2440">
      <pivotArea collapsedLevelsAreSubtotals="1" fieldPosition="0">
        <references count="4">
          <reference field="3" count="1" selected="0">
            <x v="4"/>
          </reference>
          <reference field="5" count="0"/>
          <reference field="6" count="1" selected="0">
            <x v="1"/>
          </reference>
          <reference field="7" count="1" selected="0">
            <x v="0"/>
          </reference>
        </references>
      </pivotArea>
    </format>
    <format dxfId="2439">
      <pivotArea dataOnly="0" labelOnly="1" fieldPosition="0">
        <references count="2">
          <reference field="6" count="1" selected="0">
            <x v="0"/>
          </reference>
          <reference field="7" count="1">
            <x v="0"/>
          </reference>
        </references>
      </pivotArea>
    </format>
    <format dxfId="2438">
      <pivotArea collapsedLevelsAreSubtotals="1" fieldPosition="0">
        <references count="4">
          <reference field="3" count="1" selected="0">
            <x v="4"/>
          </reference>
          <reference field="5" count="0"/>
          <reference field="6" count="1" selected="0">
            <x v="0"/>
          </reference>
          <reference field="7" count="1" selected="0">
            <x v="0"/>
          </reference>
        </references>
      </pivotArea>
    </format>
    <format dxfId="2437">
      <pivotArea collapsedLevelsAreSubtotals="1" fieldPosition="0">
        <references count="3">
          <reference field="3" count="3" selected="0">
            <x v="5"/>
            <x v="6"/>
            <x v="7"/>
          </reference>
          <reference field="6" count="1" selected="0">
            <x v="0"/>
          </reference>
          <reference field="7" count="1">
            <x v="0"/>
          </reference>
        </references>
      </pivotArea>
    </format>
    <format dxfId="2436">
      <pivotArea collapsedLevelsAreSubtotals="1" fieldPosition="0">
        <references count="4">
          <reference field="3" count="3" selected="0">
            <x v="5"/>
            <x v="6"/>
            <x v="7"/>
          </reference>
          <reference field="5" count="0"/>
          <reference field="6" count="1" selected="0">
            <x v="0"/>
          </reference>
          <reference field="7" count="1" selected="0">
            <x v="0"/>
          </reference>
        </references>
      </pivotArea>
    </format>
    <format dxfId="2435">
      <pivotArea collapsedLevelsAreSubtotals="1" fieldPosition="0">
        <references count="3">
          <reference field="3" count="3" selected="0">
            <x v="5"/>
            <x v="6"/>
            <x v="7"/>
          </reference>
          <reference field="6" count="1" selected="0">
            <x v="0"/>
          </reference>
          <reference field="7" count="1">
            <x v="1"/>
          </reference>
        </references>
      </pivotArea>
    </format>
    <format dxfId="2434">
      <pivotArea dataOnly="0" labelOnly="1" fieldPosition="0">
        <references count="2">
          <reference field="6" count="1" selected="0">
            <x v="1"/>
          </reference>
          <reference field="7" count="1">
            <x v="1"/>
          </reference>
        </references>
      </pivotArea>
    </format>
    <format dxfId="2433">
      <pivotArea dataOnly="0" labelOnly="1" fieldPosition="0">
        <references count="2">
          <reference field="6" count="1" selected="0">
            <x v="1"/>
          </reference>
          <reference field="7" count="1">
            <x v="1"/>
          </reference>
        </references>
      </pivotArea>
    </format>
    <format dxfId="2432">
      <pivotArea dataOnly="0" labelOnly="1" fieldPosition="0">
        <references count="2">
          <reference field="6" count="1" selected="0">
            <x v="1"/>
          </reference>
          <reference field="7" count="1">
            <x v="1"/>
          </reference>
        </references>
      </pivotArea>
    </format>
    <format dxfId="2431">
      <pivotArea dataOnly="0" labelOnly="1" fieldPosition="0">
        <references count="2">
          <reference field="6" count="1" selected="0">
            <x v="1"/>
          </reference>
          <reference field="7" count="1">
            <x v="1"/>
          </reference>
        </references>
      </pivotArea>
    </format>
    <format dxfId="2430">
      <pivotArea dataOnly="0" labelOnly="1" fieldPosition="0">
        <references count="2">
          <reference field="6" count="1" selected="0">
            <x v="1"/>
          </reference>
          <reference field="7" count="1">
            <x v="1"/>
          </reference>
        </references>
      </pivotArea>
    </format>
    <format dxfId="2429">
      <pivotArea dataOnly="0" labelOnly="1" fieldPosition="0">
        <references count="2">
          <reference field="6" count="1" selected="0">
            <x v="1"/>
          </reference>
          <reference field="7" count="1">
            <x v="1"/>
          </reference>
        </references>
      </pivotArea>
    </format>
    <format dxfId="2428">
      <pivotArea dataOnly="0" labelOnly="1" fieldPosition="0">
        <references count="2">
          <reference field="6" count="1" selected="0">
            <x v="1"/>
          </reference>
          <reference field="7" count="1">
            <x v="1"/>
          </reference>
        </references>
      </pivotArea>
    </format>
    <format dxfId="2427">
      <pivotArea dataOnly="0" labelOnly="1" fieldPosition="0">
        <references count="2">
          <reference field="6" count="1" selected="0">
            <x v="1"/>
          </reference>
          <reference field="7" count="1">
            <x v="1"/>
          </reference>
        </references>
      </pivotArea>
    </format>
    <format dxfId="2426">
      <pivotArea dataOnly="0" labelOnly="1" fieldPosition="0">
        <references count="2">
          <reference field="6" count="1" selected="0">
            <x v="1"/>
          </reference>
          <reference field="7" count="1">
            <x v="1"/>
          </reference>
        </references>
      </pivotArea>
    </format>
    <format dxfId="2425">
      <pivotArea dataOnly="0" labelOnly="1" fieldPosition="0">
        <references count="2">
          <reference field="6" count="1" selected="0">
            <x v="1"/>
          </reference>
          <reference field="7" count="1">
            <x v="1"/>
          </reference>
        </references>
      </pivotArea>
    </format>
    <format dxfId="2424">
      <pivotArea dataOnly="0" labelOnly="1" fieldPosition="0">
        <references count="2">
          <reference field="6" count="1" selected="0">
            <x v="1"/>
          </reference>
          <reference field="7" count="1">
            <x v="1"/>
          </reference>
        </references>
      </pivotArea>
    </format>
    <format dxfId="2423">
      <pivotArea dataOnly="0" labelOnly="1" fieldPosition="0">
        <references count="2">
          <reference field="6" count="1" selected="0">
            <x v="1"/>
          </reference>
          <reference field="7" count="1">
            <x v="1"/>
          </reference>
        </references>
      </pivotArea>
    </format>
    <format dxfId="2422">
      <pivotArea dataOnly="0" labelOnly="1" fieldPosition="0">
        <references count="2">
          <reference field="6" count="1" selected="0">
            <x v="1"/>
          </reference>
          <reference field="7" count="1">
            <x v="1"/>
          </reference>
        </references>
      </pivotArea>
    </format>
    <format dxfId="2421">
      <pivotArea dataOnly="0" labelOnly="1" fieldPosition="0">
        <references count="2">
          <reference field="6" count="1" selected="0">
            <x v="1"/>
          </reference>
          <reference field="7" count="1">
            <x v="1"/>
          </reference>
        </references>
      </pivotArea>
    </format>
    <format dxfId="2420">
      <pivotArea dataOnly="0" labelOnly="1" fieldPosition="0">
        <references count="2">
          <reference field="6" count="1" selected="0">
            <x v="1"/>
          </reference>
          <reference field="7" count="1">
            <x v="1"/>
          </reference>
        </references>
      </pivotArea>
    </format>
    <format dxfId="2419">
      <pivotArea dataOnly="0" labelOnly="1" fieldPosition="0">
        <references count="2">
          <reference field="6" count="1" selected="0">
            <x v="1"/>
          </reference>
          <reference field="7" count="1">
            <x v="1"/>
          </reference>
        </references>
      </pivotArea>
    </format>
    <format dxfId="2418">
      <pivotArea dataOnly="0" labelOnly="1" fieldPosition="0">
        <references count="2">
          <reference field="6" count="1" selected="0">
            <x v="1"/>
          </reference>
          <reference field="7" count="1">
            <x v="1"/>
          </reference>
        </references>
      </pivotArea>
    </format>
    <format dxfId="2417">
      <pivotArea dataOnly="0" labelOnly="1" fieldPosition="0">
        <references count="2">
          <reference field="6" count="1" selected="0">
            <x v="1"/>
          </reference>
          <reference field="7" count="1">
            <x v="1"/>
          </reference>
        </references>
      </pivotArea>
    </format>
    <format dxfId="2416">
      <pivotArea dataOnly="0" labelOnly="1" fieldPosition="0">
        <references count="2">
          <reference field="6" count="1" selected="0">
            <x v="1"/>
          </reference>
          <reference field="7" count="1">
            <x v="1"/>
          </reference>
        </references>
      </pivotArea>
    </format>
    <format dxfId="2415">
      <pivotArea dataOnly="0" labelOnly="1" fieldPosition="0">
        <references count="2">
          <reference field="6" count="1" selected="0">
            <x v="1"/>
          </reference>
          <reference field="7" count="1">
            <x v="1"/>
          </reference>
        </references>
      </pivotArea>
    </format>
    <format dxfId="2414">
      <pivotArea dataOnly="0" labelOnly="1" fieldPosition="0">
        <references count="2">
          <reference field="6" count="1" selected="0">
            <x v="1"/>
          </reference>
          <reference field="7" count="1">
            <x v="1"/>
          </reference>
        </references>
      </pivotArea>
    </format>
    <format dxfId="2413">
      <pivotArea dataOnly="0" labelOnly="1" fieldPosition="0">
        <references count="2">
          <reference field="6" count="1" selected="0">
            <x v="1"/>
          </reference>
          <reference field="7" count="1">
            <x v="1"/>
          </reference>
        </references>
      </pivotArea>
    </format>
    <format dxfId="2412">
      <pivotArea dataOnly="0" labelOnly="1" fieldPosition="0">
        <references count="2">
          <reference field="6" count="1" selected="0">
            <x v="1"/>
          </reference>
          <reference field="7" count="1">
            <x v="1"/>
          </reference>
        </references>
      </pivotArea>
    </format>
    <format dxfId="2411">
      <pivotArea dataOnly="0" labelOnly="1" fieldPosition="0">
        <references count="3">
          <reference field="5" count="1">
            <x v="1"/>
          </reference>
          <reference field="6" count="1" selected="0">
            <x v="0"/>
          </reference>
          <reference field="7" count="1" selected="0">
            <x v="0"/>
          </reference>
        </references>
      </pivotArea>
    </format>
    <format dxfId="2410">
      <pivotArea dataOnly="0" labelOnly="1" fieldPosition="0">
        <references count="3">
          <reference field="5" count="1">
            <x v="1"/>
          </reference>
          <reference field="6" count="1" selected="0">
            <x v="0"/>
          </reference>
          <reference field="7" count="1" selected="0">
            <x v="1"/>
          </reference>
        </references>
      </pivotArea>
    </format>
    <format dxfId="2409">
      <pivotArea dataOnly="0" labelOnly="1" fieldPosition="0">
        <references count="3">
          <reference field="5" count="1">
            <x v="1"/>
          </reference>
          <reference field="6" count="1" selected="0">
            <x v="0"/>
          </reference>
          <reference field="7" count="1" selected="0">
            <x v="2"/>
          </reference>
        </references>
      </pivotArea>
    </format>
    <format dxfId="2408">
      <pivotArea dataOnly="0" labelOnly="1" fieldPosition="0">
        <references count="3">
          <reference field="5" count="1">
            <x v="1"/>
          </reference>
          <reference field="6" count="1" selected="0">
            <x v="0"/>
          </reference>
          <reference field="7" count="1" selected="0">
            <x v="3"/>
          </reference>
        </references>
      </pivotArea>
    </format>
    <format dxfId="2407">
      <pivotArea dataOnly="0" labelOnly="1" fieldPosition="0">
        <references count="3">
          <reference field="5" count="1">
            <x v="1"/>
          </reference>
          <reference field="6" count="1" selected="0">
            <x v="0"/>
          </reference>
          <reference field="7" count="1" selected="0">
            <x v="4"/>
          </reference>
        </references>
      </pivotArea>
    </format>
    <format dxfId="2406">
      <pivotArea collapsedLevelsAreSubtotals="1" fieldPosition="0">
        <references count="4">
          <reference field="3" count="1" selected="0">
            <x v="15"/>
          </reference>
          <reference field="5" count="1">
            <x v="1"/>
          </reference>
          <reference field="6" count="1" selected="0">
            <x v="1"/>
          </reference>
          <reference field="7" count="1" selected="0">
            <x v="0"/>
          </reference>
        </references>
      </pivotArea>
    </format>
    <format dxfId="2405">
      <pivotArea collapsedLevelsAreSubtotals="1" fieldPosition="0">
        <references count="4">
          <reference field="3" count="1" selected="0">
            <x v="15"/>
          </reference>
          <reference field="5" count="1">
            <x v="1"/>
          </reference>
          <reference field="6" count="1" selected="0">
            <x v="1"/>
          </reference>
          <reference field="7" count="1" selected="0">
            <x v="1"/>
          </reference>
        </references>
      </pivotArea>
    </format>
    <format dxfId="2404">
      <pivotArea collapsedLevelsAreSubtotals="1" fieldPosition="0">
        <references count="4">
          <reference field="3" count="1" selected="0">
            <x v="15"/>
          </reference>
          <reference field="5" count="1">
            <x v="1"/>
          </reference>
          <reference field="6" count="1" selected="0">
            <x v="1"/>
          </reference>
          <reference field="7" count="1" selected="0">
            <x v="2"/>
          </reference>
        </references>
      </pivotArea>
    </format>
    <format dxfId="2403">
      <pivotArea collapsedLevelsAreSubtotals="1" fieldPosition="0">
        <references count="4">
          <reference field="3" count="1" selected="0">
            <x v="15"/>
          </reference>
          <reference field="5" count="1">
            <x v="1"/>
          </reference>
          <reference field="6" count="1" selected="0">
            <x v="1"/>
          </reference>
          <reference field="7" count="1" selected="0">
            <x v="3"/>
          </reference>
        </references>
      </pivotArea>
    </format>
    <format dxfId="2402">
      <pivotArea collapsedLevelsAreSubtotals="1" fieldPosition="0">
        <references count="4">
          <reference field="3" count="1" selected="0">
            <x v="15"/>
          </reference>
          <reference field="5" count="1">
            <x v="1"/>
          </reference>
          <reference field="6" count="1" selected="0">
            <x v="1"/>
          </reference>
          <reference field="7" count="1" selected="0">
            <x v="4"/>
          </reference>
        </references>
      </pivotArea>
    </format>
    <format dxfId="2401">
      <pivotArea collapsedLevelsAreSubtotals="1" fieldPosition="0">
        <references count="4">
          <reference field="3" count="1" selected="0">
            <x v="15"/>
          </reference>
          <reference field="5" count="1">
            <x v="1"/>
          </reference>
          <reference field="6" count="1" selected="0">
            <x v="0"/>
          </reference>
          <reference field="7" count="1" selected="0">
            <x v="0"/>
          </reference>
        </references>
      </pivotArea>
    </format>
    <format dxfId="2400">
      <pivotArea collapsedLevelsAreSubtotals="1" fieldPosition="0">
        <references count="4">
          <reference field="3" count="1" selected="0">
            <x v="15"/>
          </reference>
          <reference field="5" count="1">
            <x v="1"/>
          </reference>
          <reference field="6" count="1" selected="0">
            <x v="0"/>
          </reference>
          <reference field="7" count="1" selected="0">
            <x v="1"/>
          </reference>
        </references>
      </pivotArea>
    </format>
    <format dxfId="2399">
      <pivotArea collapsedLevelsAreSubtotals="1" fieldPosition="0">
        <references count="4">
          <reference field="3" count="1" selected="0">
            <x v="15"/>
          </reference>
          <reference field="5" count="1">
            <x v="1"/>
          </reference>
          <reference field="6" count="1" selected="0">
            <x v="0"/>
          </reference>
          <reference field="7" count="1" selected="0">
            <x v="2"/>
          </reference>
        </references>
      </pivotArea>
    </format>
    <format dxfId="2398">
      <pivotArea collapsedLevelsAreSubtotals="1" fieldPosition="0">
        <references count="4">
          <reference field="3" count="1" selected="0">
            <x v="15"/>
          </reference>
          <reference field="5" count="1">
            <x v="1"/>
          </reference>
          <reference field="6" count="1" selected="0">
            <x v="0"/>
          </reference>
          <reference field="7" count="1" selected="0">
            <x v="3"/>
          </reference>
        </references>
      </pivotArea>
    </format>
    <format dxfId="2397">
      <pivotArea collapsedLevelsAreSubtotals="1" fieldPosition="0">
        <references count="4">
          <reference field="3" count="1" selected="0">
            <x v="15"/>
          </reference>
          <reference field="5" count="1">
            <x v="1"/>
          </reference>
          <reference field="6" count="1" selected="0">
            <x v="0"/>
          </reference>
          <reference field="7" count="1" selected="0">
            <x v="4"/>
          </reference>
        </references>
      </pivotArea>
    </format>
    <format dxfId="2396">
      <pivotArea collapsedLevelsAreSubtotals="1" fieldPosition="0">
        <references count="3">
          <reference field="3" count="3" selected="0">
            <x v="9"/>
            <x v="10"/>
            <x v="11"/>
          </reference>
          <reference field="6" count="1" selected="0">
            <x v="1"/>
          </reference>
          <reference field="7" count="1">
            <x v="1"/>
          </reference>
        </references>
      </pivotArea>
    </format>
    <format dxfId="2395">
      <pivotArea collapsedLevelsAreSubtotals="1" fieldPosition="0">
        <references count="3">
          <reference field="3" count="3" selected="0">
            <x v="9"/>
            <x v="10"/>
            <x v="11"/>
          </reference>
          <reference field="6" count="1" selected="0">
            <x v="1"/>
          </reference>
          <reference field="7" count="1">
            <x v="2"/>
          </reference>
        </references>
      </pivotArea>
    </format>
    <format dxfId="2394">
      <pivotArea collapsedLevelsAreSubtotals="1" fieldPosition="0">
        <references count="3">
          <reference field="3" count="3" selected="0">
            <x v="9"/>
            <x v="10"/>
            <x v="11"/>
          </reference>
          <reference field="6" count="1" selected="0">
            <x v="1"/>
          </reference>
          <reference field="7" count="1">
            <x v="3"/>
          </reference>
        </references>
      </pivotArea>
    </format>
    <format dxfId="2393">
      <pivotArea collapsedLevelsAreSubtotals="1" fieldPosition="0">
        <references count="3">
          <reference field="3" count="3" selected="0">
            <x v="9"/>
            <x v="10"/>
            <x v="11"/>
          </reference>
          <reference field="6" count="1" selected="0">
            <x v="1"/>
          </reference>
          <reference field="7" count="1">
            <x v="4"/>
          </reference>
        </references>
      </pivotArea>
    </format>
    <format dxfId="2392">
      <pivotArea dataOnly="0" labelOnly="1" fieldPosition="0">
        <references count="2">
          <reference field="5" count="1">
            <x v="1"/>
          </reference>
          <reference field="6" count="1" selected="0">
            <x v="1"/>
          </reference>
        </references>
      </pivotArea>
    </format>
    <format dxfId="2391">
      <pivotArea dataOnly="0" labelOnly="1" fieldPosition="0">
        <references count="3">
          <reference field="5" count="1" selected="0">
            <x v="0"/>
          </reference>
          <reference field="6" count="1" selected="0">
            <x v="1"/>
          </reference>
          <reference field="7" count="0"/>
        </references>
      </pivotArea>
    </format>
    <format dxfId="2390">
      <pivotArea dataOnly="0" labelOnly="1" fieldPosition="0">
        <references count="3">
          <reference field="5" count="1" selected="0">
            <x v="0"/>
          </reference>
          <reference field="6" count="1" selected="0">
            <x v="1"/>
          </reference>
          <reference field="7" count="0"/>
        </references>
      </pivotArea>
    </format>
    <format dxfId="2389">
      <pivotArea dataOnly="0" labelOnly="1" fieldPosition="0">
        <references count="2">
          <reference field="5" count="0"/>
          <reference field="6" count="1" selected="0">
            <x v="0"/>
          </reference>
        </references>
      </pivotArea>
    </format>
    <format dxfId="2388">
      <pivotArea dataOnly="0" labelOnly="1" fieldPosition="0">
        <references count="3">
          <reference field="5" count="1" selected="0">
            <x v="0"/>
          </reference>
          <reference field="6" count="1" selected="0">
            <x v="0"/>
          </reference>
          <reference field="7" count="0"/>
        </references>
      </pivotArea>
    </format>
    <format dxfId="2387">
      <pivotArea collapsedLevelsAreSubtotals="1" fieldPosition="0">
        <references count="4">
          <reference field="3" count="4" selected="0">
            <x v="4"/>
            <x v="5"/>
            <x v="6"/>
            <x v="7"/>
          </reference>
          <reference field="5" count="1" selected="0">
            <x v="0"/>
          </reference>
          <reference field="6" count="1" selected="0">
            <x v="1"/>
          </reference>
          <reference field="7" count="0"/>
        </references>
      </pivotArea>
    </format>
    <format dxfId="2386">
      <pivotArea collapsedLevelsAreSubtotals="1" fieldPosition="0">
        <references count="3">
          <reference field="3" count="4" selected="0">
            <x v="4"/>
            <x v="5"/>
            <x v="6"/>
            <x v="7"/>
          </reference>
          <reference field="5" count="1">
            <x v="1"/>
          </reference>
          <reference field="6" count="1" selected="0">
            <x v="1"/>
          </reference>
        </references>
      </pivotArea>
    </format>
    <format dxfId="2385">
      <pivotArea collapsedLevelsAreSubtotals="1" fieldPosition="0">
        <references count="4">
          <reference field="3" count="4" selected="0">
            <x v="4"/>
            <x v="5"/>
            <x v="6"/>
            <x v="7"/>
          </reference>
          <reference field="5" count="1" selected="0">
            <x v="1"/>
          </reference>
          <reference field="6" count="1" selected="0">
            <x v="1"/>
          </reference>
          <reference field="7" count="0"/>
        </references>
      </pivotArea>
    </format>
    <format dxfId="2384">
      <pivotArea collapsedLevelsAreSubtotals="1" fieldPosition="0">
        <references count="2">
          <reference field="3" count="4" selected="0">
            <x v="4"/>
            <x v="5"/>
            <x v="6"/>
            <x v="7"/>
          </reference>
          <reference field="6" count="1">
            <x v="0"/>
          </reference>
        </references>
      </pivotArea>
    </format>
    <format dxfId="2383">
      <pivotArea collapsedLevelsAreSubtotals="1" fieldPosition="0">
        <references count="3">
          <reference field="3" count="4" selected="0">
            <x v="4"/>
            <x v="5"/>
            <x v="6"/>
            <x v="7"/>
          </reference>
          <reference field="5" count="1">
            <x v="0"/>
          </reference>
          <reference field="6" count="1" selected="0">
            <x v="0"/>
          </reference>
        </references>
      </pivotArea>
    </format>
    <format dxfId="2382">
      <pivotArea collapsedLevelsAreSubtotals="1" fieldPosition="0">
        <references count="4">
          <reference field="3" count="4" selected="0">
            <x v="4"/>
            <x v="5"/>
            <x v="6"/>
            <x v="7"/>
          </reference>
          <reference field="5" count="1" selected="0">
            <x v="0"/>
          </reference>
          <reference field="6" count="1" selected="0">
            <x v="0"/>
          </reference>
          <reference field="7" count="0"/>
        </references>
      </pivotArea>
    </format>
    <format dxfId="2381">
      <pivotArea collapsedLevelsAreSubtotals="1" fieldPosition="0">
        <references count="3">
          <reference field="3" count="4" selected="0">
            <x v="4"/>
            <x v="5"/>
            <x v="6"/>
            <x v="7"/>
          </reference>
          <reference field="5" count="1">
            <x v="1"/>
          </reference>
          <reference field="6" count="1" selected="0">
            <x v="0"/>
          </reference>
        </references>
      </pivotArea>
    </format>
    <format dxfId="2380">
      <pivotArea collapsedLevelsAreSubtotals="1" fieldPosition="0">
        <references count="4">
          <reference field="3" count="4" selected="0">
            <x v="4"/>
            <x v="5"/>
            <x v="6"/>
            <x v="7"/>
          </reference>
          <reference field="5" count="1" selected="0">
            <x v="1"/>
          </reference>
          <reference field="6" count="1" selected="0">
            <x v="0"/>
          </reference>
          <reference field="7" count="3">
            <x v="0"/>
            <x v="1"/>
            <x v="2"/>
          </reference>
        </references>
      </pivotArea>
    </format>
    <format dxfId="2379">
      <pivotArea collapsedLevelsAreSubtotals="1" fieldPosition="0">
        <references count="4">
          <reference field="3" count="4" selected="0">
            <x v="4"/>
            <x v="5"/>
            <x v="6"/>
            <x v="7"/>
          </reference>
          <reference field="5" count="1" selected="0">
            <x v="0"/>
          </reference>
          <reference field="6" count="1" selected="0">
            <x v="1"/>
          </reference>
          <reference field="7" count="0"/>
        </references>
      </pivotArea>
    </format>
    <format dxfId="2378">
      <pivotArea collapsedLevelsAreSubtotals="1" fieldPosition="0">
        <references count="3">
          <reference field="3" count="4" selected="0">
            <x v="4"/>
            <x v="5"/>
            <x v="6"/>
            <x v="7"/>
          </reference>
          <reference field="5" count="1">
            <x v="1"/>
          </reference>
          <reference field="6" count="1" selected="0">
            <x v="1"/>
          </reference>
        </references>
      </pivotArea>
    </format>
    <format dxfId="2377">
      <pivotArea collapsedLevelsAreSubtotals="1" fieldPosition="0">
        <references count="4">
          <reference field="3" count="4" selected="0">
            <x v="4"/>
            <x v="5"/>
            <x v="6"/>
            <x v="7"/>
          </reference>
          <reference field="5" count="1" selected="0">
            <x v="1"/>
          </reference>
          <reference field="6" count="1" selected="0">
            <x v="1"/>
          </reference>
          <reference field="7" count="0"/>
        </references>
      </pivotArea>
    </format>
    <format dxfId="2376">
      <pivotArea collapsedLevelsAreSubtotals="1" fieldPosition="0">
        <references count="2">
          <reference field="3" count="4" selected="0">
            <x v="4"/>
            <x v="5"/>
            <x v="6"/>
            <x v="7"/>
          </reference>
          <reference field="6" count="1">
            <x v="0"/>
          </reference>
        </references>
      </pivotArea>
    </format>
    <format dxfId="2375">
      <pivotArea collapsedLevelsAreSubtotals="1" fieldPosition="0">
        <references count="3">
          <reference field="3" count="4" selected="0">
            <x v="4"/>
            <x v="5"/>
            <x v="6"/>
            <x v="7"/>
          </reference>
          <reference field="5" count="1">
            <x v="0"/>
          </reference>
          <reference field="6" count="1" selected="0">
            <x v="0"/>
          </reference>
        </references>
      </pivotArea>
    </format>
    <format dxfId="2374">
      <pivotArea collapsedLevelsAreSubtotals="1" fieldPosition="0">
        <references count="4">
          <reference field="3" count="4" selected="0">
            <x v="4"/>
            <x v="5"/>
            <x v="6"/>
            <x v="7"/>
          </reference>
          <reference field="5" count="1" selected="0">
            <x v="0"/>
          </reference>
          <reference field="6" count="1" selected="0">
            <x v="0"/>
          </reference>
          <reference field="7" count="0"/>
        </references>
      </pivotArea>
    </format>
    <format dxfId="2373">
      <pivotArea collapsedLevelsAreSubtotals="1" fieldPosition="0">
        <references count="3">
          <reference field="3" count="4" selected="0">
            <x v="4"/>
            <x v="5"/>
            <x v="6"/>
            <x v="7"/>
          </reference>
          <reference field="5" count="1">
            <x v="1"/>
          </reference>
          <reference field="6" count="1" selected="0">
            <x v="0"/>
          </reference>
        </references>
      </pivotArea>
    </format>
    <format dxfId="2372">
      <pivotArea collapsedLevelsAreSubtotals="1" fieldPosition="0">
        <references count="4">
          <reference field="3" count="4" selected="0">
            <x v="4"/>
            <x v="5"/>
            <x v="6"/>
            <x v="7"/>
          </reference>
          <reference field="5" count="1" selected="0">
            <x v="1"/>
          </reference>
          <reference field="6" count="1" selected="0">
            <x v="0"/>
          </reference>
          <reference field="7" count="3">
            <x v="0"/>
            <x v="1"/>
            <x v="2"/>
          </reference>
        </references>
      </pivotArea>
    </format>
    <format dxfId="2371">
      <pivotArea collapsedLevelsAreSubtotals="1" fieldPosition="0">
        <references count="3">
          <reference field="3" count="8" selected="0">
            <x v="8"/>
            <x v="9"/>
            <x v="10"/>
            <x v="11"/>
            <x v="12"/>
            <x v="13"/>
            <x v="14"/>
            <x v="15"/>
          </reference>
          <reference field="5" count="1">
            <x v="0"/>
          </reference>
          <reference field="6" count="1" selected="0">
            <x v="1"/>
          </reference>
        </references>
      </pivotArea>
    </format>
    <format dxfId="2370">
      <pivotArea collapsedLevelsAreSubtotals="1" fieldPosition="0">
        <references count="4">
          <reference field="3" count="8" selected="0">
            <x v="8"/>
            <x v="9"/>
            <x v="10"/>
            <x v="11"/>
            <x v="12"/>
            <x v="13"/>
            <x v="14"/>
            <x v="15"/>
          </reference>
          <reference field="5" count="1" selected="0">
            <x v="0"/>
          </reference>
          <reference field="6" count="1" selected="0">
            <x v="1"/>
          </reference>
          <reference field="7" count="0"/>
        </references>
      </pivotArea>
    </format>
    <format dxfId="2369">
      <pivotArea collapsedLevelsAreSubtotals="1" fieldPosition="0">
        <references count="3">
          <reference field="3" count="8" selected="0">
            <x v="8"/>
            <x v="9"/>
            <x v="10"/>
            <x v="11"/>
            <x v="12"/>
            <x v="13"/>
            <x v="14"/>
            <x v="15"/>
          </reference>
          <reference field="5" count="1">
            <x v="1"/>
          </reference>
          <reference field="6" count="1" selected="0">
            <x v="1"/>
          </reference>
        </references>
      </pivotArea>
    </format>
    <format dxfId="2368">
      <pivotArea collapsedLevelsAreSubtotals="1" fieldPosition="0">
        <references count="4">
          <reference field="3" count="8" selected="0">
            <x v="8"/>
            <x v="9"/>
            <x v="10"/>
            <x v="11"/>
            <x v="12"/>
            <x v="13"/>
            <x v="14"/>
            <x v="15"/>
          </reference>
          <reference field="5" count="1" selected="0">
            <x v="1"/>
          </reference>
          <reference field="6" count="1" selected="0">
            <x v="1"/>
          </reference>
          <reference field="7" count="0"/>
        </references>
      </pivotArea>
    </format>
    <format dxfId="2367">
      <pivotArea collapsedLevelsAreSubtotals="1" fieldPosition="0">
        <references count="2">
          <reference field="3" count="8" selected="0">
            <x v="8"/>
            <x v="9"/>
            <x v="10"/>
            <x v="11"/>
            <x v="12"/>
            <x v="13"/>
            <x v="14"/>
            <x v="15"/>
          </reference>
          <reference field="6" count="1">
            <x v="0"/>
          </reference>
        </references>
      </pivotArea>
    </format>
    <format dxfId="2366">
      <pivotArea collapsedLevelsAreSubtotals="1" fieldPosition="0">
        <references count="3">
          <reference field="3" count="8" selected="0">
            <x v="8"/>
            <x v="9"/>
            <x v="10"/>
            <x v="11"/>
            <x v="12"/>
            <x v="13"/>
            <x v="14"/>
            <x v="15"/>
          </reference>
          <reference field="5" count="1">
            <x v="0"/>
          </reference>
          <reference field="6" count="1" selected="0">
            <x v="0"/>
          </reference>
        </references>
      </pivotArea>
    </format>
    <format dxfId="2365">
      <pivotArea collapsedLevelsAreSubtotals="1" fieldPosition="0">
        <references count="4">
          <reference field="3" count="8" selected="0">
            <x v="8"/>
            <x v="9"/>
            <x v="10"/>
            <x v="11"/>
            <x v="12"/>
            <x v="13"/>
            <x v="14"/>
            <x v="15"/>
          </reference>
          <reference field="5" count="1" selected="0">
            <x v="0"/>
          </reference>
          <reference field="6" count="1" selected="0">
            <x v="0"/>
          </reference>
          <reference field="7" count="0"/>
        </references>
      </pivotArea>
    </format>
    <format dxfId="2364">
      <pivotArea collapsedLevelsAreSubtotals="1" fieldPosition="0">
        <references count="3">
          <reference field="3" count="8" selected="0">
            <x v="8"/>
            <x v="9"/>
            <x v="10"/>
            <x v="11"/>
            <x v="12"/>
            <x v="13"/>
            <x v="14"/>
            <x v="15"/>
          </reference>
          <reference field="5" count="1">
            <x v="1"/>
          </reference>
          <reference field="6" count="1" selected="0">
            <x v="0"/>
          </reference>
        </references>
      </pivotArea>
    </format>
    <format dxfId="2363">
      <pivotArea collapsedLevelsAreSubtotals="1" fieldPosition="0">
        <references count="4">
          <reference field="3" count="8" selected="0">
            <x v="8"/>
            <x v="9"/>
            <x v="10"/>
            <x v="11"/>
            <x v="12"/>
            <x v="13"/>
            <x v="14"/>
            <x v="15"/>
          </reference>
          <reference field="5" count="1" selected="0">
            <x v="1"/>
          </reference>
          <reference field="6" count="1" selected="0">
            <x v="0"/>
          </reference>
          <reference field="7" count="0"/>
        </references>
      </pivotArea>
    </format>
    <format dxfId="2362">
      <pivotArea collapsedLevelsAreSubtotals="1" fieldPosition="0">
        <references count="3">
          <reference field="3" count="8" selected="0">
            <x v="8"/>
            <x v="9"/>
            <x v="10"/>
            <x v="11"/>
            <x v="12"/>
            <x v="13"/>
            <x v="14"/>
            <x v="15"/>
          </reference>
          <reference field="5" count="1">
            <x v="0"/>
          </reference>
          <reference field="6" count="1" selected="0">
            <x v="1"/>
          </reference>
        </references>
      </pivotArea>
    </format>
    <format dxfId="2361">
      <pivotArea collapsedLevelsAreSubtotals="1" fieldPosition="0">
        <references count="4">
          <reference field="3" count="8" selected="0">
            <x v="8"/>
            <x v="9"/>
            <x v="10"/>
            <x v="11"/>
            <x v="12"/>
            <x v="13"/>
            <x v="14"/>
            <x v="15"/>
          </reference>
          <reference field="5" count="1" selected="0">
            <x v="0"/>
          </reference>
          <reference field="6" count="1" selected="0">
            <x v="1"/>
          </reference>
          <reference field="7" count="0"/>
        </references>
      </pivotArea>
    </format>
    <format dxfId="2360">
      <pivotArea collapsedLevelsAreSubtotals="1" fieldPosition="0">
        <references count="3">
          <reference field="3" count="8" selected="0">
            <x v="8"/>
            <x v="9"/>
            <x v="10"/>
            <x v="11"/>
            <x v="12"/>
            <x v="13"/>
            <x v="14"/>
            <x v="15"/>
          </reference>
          <reference field="5" count="1">
            <x v="1"/>
          </reference>
          <reference field="6" count="1" selected="0">
            <x v="1"/>
          </reference>
        </references>
      </pivotArea>
    </format>
    <format dxfId="2359">
      <pivotArea collapsedLevelsAreSubtotals="1" fieldPosition="0">
        <references count="4">
          <reference field="3" count="8" selected="0">
            <x v="8"/>
            <x v="9"/>
            <x v="10"/>
            <x v="11"/>
            <x v="12"/>
            <x v="13"/>
            <x v="14"/>
            <x v="15"/>
          </reference>
          <reference field="5" count="1" selected="0">
            <x v="1"/>
          </reference>
          <reference field="6" count="1" selected="0">
            <x v="1"/>
          </reference>
          <reference field="7" count="0"/>
        </references>
      </pivotArea>
    </format>
    <format dxfId="2358">
      <pivotArea collapsedLevelsAreSubtotals="1" fieldPosition="0">
        <references count="2">
          <reference field="3" count="8" selected="0">
            <x v="8"/>
            <x v="9"/>
            <x v="10"/>
            <x v="11"/>
            <x v="12"/>
            <x v="13"/>
            <x v="14"/>
            <x v="15"/>
          </reference>
          <reference field="6" count="1">
            <x v="0"/>
          </reference>
        </references>
      </pivotArea>
    </format>
    <format dxfId="2357">
      <pivotArea collapsedLevelsAreSubtotals="1" fieldPosition="0">
        <references count="3">
          <reference field="3" count="8" selected="0">
            <x v="8"/>
            <x v="9"/>
            <x v="10"/>
            <x v="11"/>
            <x v="12"/>
            <x v="13"/>
            <x v="14"/>
            <x v="15"/>
          </reference>
          <reference field="5" count="1">
            <x v="0"/>
          </reference>
          <reference field="6" count="1" selected="0">
            <x v="0"/>
          </reference>
        </references>
      </pivotArea>
    </format>
    <format dxfId="2356">
      <pivotArea collapsedLevelsAreSubtotals="1" fieldPosition="0">
        <references count="4">
          <reference field="3" count="8" selected="0">
            <x v="8"/>
            <x v="9"/>
            <x v="10"/>
            <x v="11"/>
            <x v="12"/>
            <x v="13"/>
            <x v="14"/>
            <x v="15"/>
          </reference>
          <reference field="5" count="1" selected="0">
            <x v="0"/>
          </reference>
          <reference field="6" count="1" selected="0">
            <x v="0"/>
          </reference>
          <reference field="7" count="0"/>
        </references>
      </pivotArea>
    </format>
    <format dxfId="2355">
      <pivotArea collapsedLevelsAreSubtotals="1" fieldPosition="0">
        <references count="3">
          <reference field="3" count="8" selected="0">
            <x v="8"/>
            <x v="9"/>
            <x v="10"/>
            <x v="11"/>
            <x v="12"/>
            <x v="13"/>
            <x v="14"/>
            <x v="15"/>
          </reference>
          <reference field="5" count="1">
            <x v="1"/>
          </reference>
          <reference field="6" count="1" selected="0">
            <x v="0"/>
          </reference>
        </references>
      </pivotArea>
    </format>
    <format dxfId="2354">
      <pivotArea collapsedLevelsAreSubtotals="1" fieldPosition="0">
        <references count="4">
          <reference field="3" count="8" selected="0">
            <x v="8"/>
            <x v="9"/>
            <x v="10"/>
            <x v="11"/>
            <x v="12"/>
            <x v="13"/>
            <x v="14"/>
            <x v="15"/>
          </reference>
          <reference field="5" count="1" selected="0">
            <x v="1"/>
          </reference>
          <reference field="6" count="1" selected="0">
            <x v="0"/>
          </reference>
          <reference field="7" count="0"/>
        </references>
      </pivotArea>
    </format>
    <format dxfId="2353">
      <pivotArea dataOnly="0" labelOnly="1" fieldPosition="0">
        <references count="1">
          <reference field="6" count="1">
            <x v="1"/>
          </reference>
        </references>
      </pivotArea>
    </format>
    <format dxfId="2352">
      <pivotArea collapsedLevelsAreSubtotals="1" fieldPosition="0">
        <references count="4">
          <reference field="3" count="3" selected="0">
            <x v="9"/>
            <x v="10"/>
            <x v="11"/>
          </reference>
          <reference field="5" count="1" selected="0">
            <x v="0"/>
          </reference>
          <reference field="6" count="1" selected="0">
            <x v="1"/>
          </reference>
          <reference field="7" count="0"/>
        </references>
      </pivotArea>
    </format>
    <format dxfId="2351">
      <pivotArea collapsedLevelsAreSubtotals="1" fieldPosition="0">
        <references count="3">
          <reference field="3" count="3" selected="0">
            <x v="9"/>
            <x v="10"/>
            <x v="11"/>
          </reference>
          <reference field="5" count="1">
            <x v="1"/>
          </reference>
          <reference field="6" count="1" selected="0">
            <x v="1"/>
          </reference>
        </references>
      </pivotArea>
    </format>
    <format dxfId="2350">
      <pivotArea collapsedLevelsAreSubtotals="1" fieldPosition="0">
        <references count="4">
          <reference field="3" count="3" selected="0">
            <x v="9"/>
            <x v="10"/>
            <x v="11"/>
          </reference>
          <reference field="5" count="1" selected="0">
            <x v="1"/>
          </reference>
          <reference field="6" count="1" selected="0">
            <x v="1"/>
          </reference>
          <reference field="7" count="0"/>
        </references>
      </pivotArea>
    </format>
    <format dxfId="2349">
      <pivotArea dataOnly="0" labelOnly="1" fieldPosition="0">
        <references count="1">
          <reference field="6" count="1">
            <x v="0"/>
          </reference>
        </references>
      </pivotArea>
    </format>
    <format dxfId="2348">
      <pivotArea dataOnly="0" labelOnly="1" fieldPosition="0">
        <references count="1">
          <reference field="6" count="1">
            <x v="0"/>
          </reference>
        </references>
      </pivotArea>
    </format>
    <format dxfId="2347">
      <pivotArea collapsedLevelsAreSubtotals="1" fieldPosition="0">
        <references count="4">
          <reference field="3" count="2" selected="0">
            <x v="12"/>
            <x v="13"/>
          </reference>
          <reference field="5" count="1" selected="0">
            <x v="0"/>
          </reference>
          <reference field="6" count="1" selected="0">
            <x v="0"/>
          </reference>
          <reference field="7" count="0"/>
        </references>
      </pivotArea>
    </format>
    <format dxfId="2346">
      <pivotArea collapsedLevelsAreSubtotals="1" fieldPosition="0">
        <references count="4">
          <reference field="3" count="2" selected="0">
            <x v="12"/>
            <x v="13"/>
          </reference>
          <reference field="5" count="1" selected="0">
            <x v="1"/>
          </reference>
          <reference field="6" count="1" selected="0">
            <x v="0"/>
          </reference>
          <reference field="7" count="0"/>
        </references>
      </pivotArea>
    </format>
    <format dxfId="2345">
      <pivotArea dataOnly="0" labelOnly="1" fieldPosition="0">
        <references count="2">
          <reference field="5" count="1">
            <x v="0"/>
          </reference>
          <reference field="6" count="1" selected="0">
            <x v="1"/>
          </reference>
        </references>
      </pivotArea>
    </format>
    <format dxfId="2344">
      <pivotArea collapsedLevelsAreSubtotals="1" fieldPosition="0">
        <references count="4">
          <reference field="3" count="1" selected="0">
            <x v="14"/>
          </reference>
          <reference field="5" count="1" selected="0">
            <x v="0"/>
          </reference>
          <reference field="6" count="1" selected="0">
            <x v="1"/>
          </reference>
          <reference field="7" count="0"/>
        </references>
      </pivotArea>
    </format>
    <format dxfId="2343">
      <pivotArea dataOnly="0" labelOnly="1" fieldPosition="0">
        <references count="2">
          <reference field="5" count="1">
            <x v="1"/>
          </reference>
          <reference field="6" count="1" selected="0">
            <x v="1"/>
          </reference>
        </references>
      </pivotArea>
    </format>
    <format dxfId="2342">
      <pivotArea collapsedLevelsAreSubtotals="1" fieldPosition="0">
        <references count="4">
          <reference field="3" count="1" selected="0">
            <x v="15"/>
          </reference>
          <reference field="5" count="1" selected="0">
            <x v="1"/>
          </reference>
          <reference field="6" count="1" selected="0">
            <x v="1"/>
          </reference>
          <reference field="7" count="0"/>
        </references>
      </pivotArea>
    </format>
    <format dxfId="2341">
      <pivotArea dataOnly="0" labelOnly="1" fieldPosition="0">
        <references count="2">
          <reference field="5" count="1">
            <x v="0"/>
          </reference>
          <reference field="6" count="1" selected="0">
            <x v="0"/>
          </reference>
        </references>
      </pivotArea>
    </format>
    <format dxfId="2340">
      <pivotArea collapsedLevelsAreSubtotals="1" fieldPosition="0">
        <references count="4">
          <reference field="3" count="1" selected="0">
            <x v="14"/>
          </reference>
          <reference field="5" count="1" selected="0">
            <x v="0"/>
          </reference>
          <reference field="6" count="1" selected="0">
            <x v="0"/>
          </reference>
          <reference field="7" count="0"/>
        </references>
      </pivotArea>
    </format>
    <format dxfId="2339">
      <pivotArea collapsedLevelsAreSubtotals="1" fieldPosition="0">
        <references count="4">
          <reference field="3" count="1" selected="0">
            <x v="15"/>
          </reference>
          <reference field="5" count="1" selected="0">
            <x v="1"/>
          </reference>
          <reference field="6" count="1" selected="0">
            <x v="0"/>
          </reference>
          <reference field="7" count="0"/>
        </references>
      </pivotArea>
    </format>
    <format dxfId="2338">
      <pivotArea dataOnly="0" labelOnly="1" fieldPosition="0">
        <references count="3">
          <reference field="5" count="1" selected="0">
            <x v="1"/>
          </reference>
          <reference field="6" count="1" selected="0">
            <x v="0"/>
          </reference>
          <reference field="7" count="1">
            <x v="0"/>
          </reference>
        </references>
      </pivotArea>
    </format>
    <format dxfId="2337">
      <pivotArea dataOnly="0" labelOnly="1" fieldPosition="0">
        <references count="3">
          <reference field="5" count="1" selected="0">
            <x v="1"/>
          </reference>
          <reference field="6" count="1" selected="0">
            <x v="1"/>
          </reference>
          <reference field="7" count="3">
            <x v="0"/>
            <x v="1"/>
            <x v="2"/>
          </reference>
        </references>
      </pivotArea>
    </format>
    <format dxfId="2336">
      <pivotArea dataOnly="0" labelOnly="1" fieldPosition="0">
        <references count="3">
          <reference field="5" count="1" selected="0">
            <x v="1"/>
          </reference>
          <reference field="6" count="1" selected="0">
            <x v="1"/>
          </reference>
          <reference field="7" count="3">
            <x v="0"/>
            <x v="1"/>
            <x v="2"/>
          </reference>
        </references>
      </pivotArea>
    </format>
    <format dxfId="2335">
      <pivotArea collapsedLevelsAreSubtotals="1" fieldPosition="0">
        <references count="3">
          <reference field="3" count="0" selected="0"/>
          <reference field="5" count="1">
            <x v="1"/>
          </reference>
          <reference field="6" count="1" selected="0">
            <x v="0"/>
          </reference>
        </references>
      </pivotArea>
    </format>
    <format dxfId="2334">
      <pivotArea collapsedLevelsAreSubtotals="1" fieldPosition="0">
        <references count="3">
          <reference field="3" count="2" selected="0">
            <x v="12"/>
            <x v="13"/>
          </reference>
          <reference field="5" count="1">
            <x v="1"/>
          </reference>
          <reference field="6" count="1" selected="0">
            <x v="0"/>
          </reference>
        </references>
      </pivotArea>
    </format>
    <format dxfId="2333">
      <pivotArea collapsedLevelsAreSubtotals="1" fieldPosition="0">
        <references count="3">
          <reference field="3" count="0" selected="0"/>
          <reference field="5" count="1">
            <x v="1"/>
          </reference>
          <reference field="6" count="1" selected="0">
            <x v="0"/>
          </reference>
        </references>
      </pivotArea>
    </format>
    <format dxfId="2332">
      <pivotArea dataOnly="0" labelOnly="1" fieldPosition="0">
        <references count="2">
          <reference field="5" count="1">
            <x v="1"/>
          </reference>
          <reference field="6" count="1" selected="0">
            <x v="0"/>
          </reference>
        </references>
      </pivotArea>
    </format>
    <format dxfId="2331">
      <pivotArea collapsedLevelsAreSubtotals="1" fieldPosition="0">
        <references count="3">
          <reference field="3" count="0" selected="0"/>
          <reference field="5" count="1">
            <x v="0"/>
          </reference>
          <reference field="6" count="1" selected="0">
            <x v="0"/>
          </reference>
        </references>
      </pivotArea>
    </format>
    <format dxfId="2330">
      <pivotArea dataOnly="0" labelOnly="1" fieldPosition="0">
        <references count="2">
          <reference field="5" count="1">
            <x v="0"/>
          </reference>
          <reference field="6" count="1" selected="0">
            <x v="0"/>
          </reference>
        </references>
      </pivotArea>
    </format>
    <format dxfId="2329">
      <pivotArea collapsedLevelsAreSubtotals="1" fieldPosition="0">
        <references count="3">
          <reference field="3" count="0" selected="0"/>
          <reference field="5" count="1">
            <x v="0"/>
          </reference>
          <reference field="6" count="1" selected="0">
            <x v="1"/>
          </reference>
        </references>
      </pivotArea>
    </format>
    <format dxfId="2328">
      <pivotArea collapsedLevelsAreSubtotals="1" fieldPosition="0">
        <references count="3">
          <reference field="3" count="16" selected="0">
            <x v="0"/>
            <x v="1"/>
            <x v="2"/>
            <x v="3"/>
            <x v="4"/>
            <x v="5"/>
            <x v="6"/>
            <x v="7"/>
            <x v="8"/>
            <x v="9"/>
            <x v="10"/>
            <x v="11"/>
            <x v="12"/>
            <x v="13"/>
            <x v="14"/>
            <x v="15"/>
          </reference>
          <reference field="5" count="1">
            <x v="1"/>
          </reference>
          <reference field="6" count="1" selected="0">
            <x v="1"/>
          </reference>
        </references>
      </pivotArea>
    </format>
    <format dxfId="2327">
      <pivotArea collapsedLevelsAreSubtotals="1" fieldPosition="0">
        <references count="2">
          <reference field="3" count="0" selected="0"/>
          <reference field="6" count="1">
            <x v="0"/>
          </reference>
        </references>
      </pivotArea>
    </format>
    <format dxfId="2326">
      <pivotArea collapsedLevelsAreSubtotals="1" fieldPosition="0">
        <references count="2">
          <reference field="3" count="0" selected="0"/>
          <reference field="6" count="1">
            <x v="1"/>
          </reference>
        </references>
      </pivotArea>
    </format>
    <format dxfId="2325">
      <pivotArea collapsedLevelsAreSubtotals="1" fieldPosition="0">
        <references count="3">
          <reference field="5" count="1" selected="0">
            <x v="0"/>
          </reference>
          <reference field="6" count="1" selected="0">
            <x v="0"/>
          </reference>
          <reference field="7" count="1">
            <x v="0"/>
          </reference>
        </references>
      </pivotArea>
    </format>
    <format dxfId="2324">
      <pivotArea dataOnly="0" labelOnly="1" fieldPosition="0">
        <references count="3">
          <reference field="5" count="1" selected="0">
            <x v="0"/>
          </reference>
          <reference field="6" count="1" selected="0">
            <x v="0"/>
          </reference>
          <reference field="7" count="1">
            <x v="0"/>
          </reference>
        </references>
      </pivotArea>
    </format>
    <format dxfId="2323">
      <pivotArea collapsedLevelsAreSubtotals="1" fieldPosition="0">
        <references count="3">
          <reference field="5" count="1" selected="0">
            <x v="1"/>
          </reference>
          <reference field="6" count="1" selected="0">
            <x v="0"/>
          </reference>
          <reference field="7" count="1">
            <x v="0"/>
          </reference>
        </references>
      </pivotArea>
    </format>
    <format dxfId="2322">
      <pivotArea dataOnly="0" labelOnly="1" fieldPosition="0">
        <references count="3">
          <reference field="5" count="1" selected="0">
            <x v="1"/>
          </reference>
          <reference field="6" count="1" selected="0">
            <x v="0"/>
          </reference>
          <reference field="7" count="1">
            <x v="0"/>
          </reference>
        </references>
      </pivotArea>
    </format>
    <format dxfId="2321">
      <pivotArea collapsedLevelsAreSubtotals="1" fieldPosition="0">
        <references count="3">
          <reference field="5" count="1" selected="0">
            <x v="0"/>
          </reference>
          <reference field="6" count="1" selected="0">
            <x v="1"/>
          </reference>
          <reference field="7" count="1">
            <x v="0"/>
          </reference>
        </references>
      </pivotArea>
    </format>
    <format dxfId="2320">
      <pivotArea dataOnly="0" labelOnly="1" fieldPosition="0">
        <references count="3">
          <reference field="5" count="1" selected="0">
            <x v="0"/>
          </reference>
          <reference field="6" count="1" selected="0">
            <x v="1"/>
          </reference>
          <reference field="7" count="1">
            <x v="0"/>
          </reference>
        </references>
      </pivotArea>
    </format>
    <format dxfId="2319">
      <pivotArea collapsedLevelsAreSubtotals="1" fieldPosition="0">
        <references count="3">
          <reference field="5" count="1" selected="0">
            <x v="1"/>
          </reference>
          <reference field="6" count="1" selected="0">
            <x v="1"/>
          </reference>
          <reference field="7" count="1">
            <x v="0"/>
          </reference>
        </references>
      </pivotArea>
    </format>
    <format dxfId="2318">
      <pivotArea dataOnly="0" labelOnly="1" fieldPosition="0">
        <references count="3">
          <reference field="5" count="1" selected="0">
            <x v="1"/>
          </reference>
          <reference field="6" count="1" selected="0">
            <x v="1"/>
          </reference>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227" tableType="xml" totalsRowShown="0" connectionId="1">
  <autoFilter ref="A1:H227" xr:uid="{00000000-0009-0000-0100-000001000000}"/>
  <sortState xmlns:xlrd2="http://schemas.microsoft.com/office/spreadsheetml/2017/richdata2" ref="A2:D227">
    <sortCondition ref="C1:C227"/>
  </sortState>
  <tableColumns count="8">
    <tableColumn id="1" xr3:uid="{00000000-0010-0000-0000-000001000000}" uniqueName="DefaultTargets" name="DefaultTargets">
      <xmlColumnPr mapId="1" xpath="/ns1:Project/@DefaultTargets" xmlDataType="string"/>
    </tableColumn>
    <tableColumn id="2" xr3:uid="{00000000-0010-0000-0000-000002000000}" uniqueName="ToolsVersion" name="ToolsVersion">
      <xmlColumnPr mapId="1" xpath="/ns1:Project/@ToolsVersion" xmlDataType="double"/>
    </tableColumn>
    <tableColumn id="3" xr3:uid="{00000000-0010-0000-0000-000003000000}" uniqueName="target" name="target">
      <xmlColumnPr mapId="1" xpath="/ns1:Project/ns1:ImportGroup/@target" xmlDataType="string"/>
    </tableColumn>
    <tableColumn id="4" xr3:uid="{00000000-0010-0000-0000-000004000000}" uniqueName="Project" name="Project">
      <xmlColumnPr mapId="1" xpath="/ns1:Project/ns1:ImportGroup/ns1:Import/@Project" xmlDataType="string"/>
    </tableColumn>
    <tableColumn id="5" xr3:uid="{00000000-0010-0000-0000-000005000000}" uniqueName="5" name="config" dataDxfId="2317">
      <calculatedColumnFormula>LEFT(Table1[[#This Row],[target]],FIND("|",Table1[[#This Row],[target]])-1)</calculatedColumnFormula>
    </tableColumn>
    <tableColumn id="6" xr3:uid="{00000000-0010-0000-0000-000006000000}" uniqueName="6" name="platform" dataDxfId="2316">
      <calculatedColumnFormula>RIGHT(Table1[[#This Row],[target]],LEN(Table1[[#This Row],[target]])-FIND("|",Table1[[#This Row],[target]]))</calculatedColumnFormula>
    </tableColumn>
    <tableColumn id="7" xr3:uid="{00000000-0010-0000-0000-000007000000}" uniqueName="7" name="Mlevel" dataDxfId="2315">
      <calculatedColumnFormula>IF("M5"=RIGHT(Table1[[#This Row],[config]],2),"GEQm5","LEQm4")</calculatedColumnFormula>
    </tableColumn>
    <tableColumn id="8" xr3:uid="{00000000-0010-0000-0000-000008000000}" uniqueName="8" name="config_base" dataDxfId="2314">
      <calculatedColumnFormula>IF("M5"=RIGHT(Table1[[#This Row],[config]],2),LEFT(Table1[[#This Row],[config]],LEN(Table1[[#This Row],[config]])-2),Table1[[#This Row],[config]])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A17" sqref="A17"/>
    </sheetView>
  </sheetViews>
  <sheetFormatPr defaultRowHeight="15" x14ac:dyDescent="0.25"/>
  <sheetData>
    <row r="1" spans="1:7" x14ac:dyDescent="0.25">
      <c r="A1" s="68" t="s">
        <v>69</v>
      </c>
      <c r="B1" s="68"/>
      <c r="C1" s="68"/>
      <c r="D1" s="68"/>
      <c r="E1" s="68"/>
      <c r="F1" s="68"/>
      <c r="G1" s="68"/>
    </row>
    <row r="2" spans="1:7" x14ac:dyDescent="0.25">
      <c r="A2" s="68"/>
      <c r="B2" s="68"/>
      <c r="C2" s="68"/>
      <c r="D2" s="68"/>
      <c r="E2" s="68"/>
      <c r="F2" s="68"/>
      <c r="G2" s="68"/>
    </row>
    <row r="3" spans="1:7" x14ac:dyDescent="0.25">
      <c r="A3" s="68"/>
      <c r="B3" s="68"/>
      <c r="C3" s="68"/>
      <c r="D3" s="68"/>
      <c r="E3" s="68"/>
      <c r="F3" s="68"/>
      <c r="G3" s="68"/>
    </row>
    <row r="4" spans="1:7" x14ac:dyDescent="0.25">
      <c r="A4" s="68"/>
      <c r="B4" s="68"/>
      <c r="C4" s="68"/>
      <c r="D4" s="68"/>
      <c r="E4" s="68"/>
      <c r="F4" s="68"/>
      <c r="G4" s="68"/>
    </row>
    <row r="5" spans="1:7" x14ac:dyDescent="0.25">
      <c r="A5" s="68"/>
      <c r="B5" s="68"/>
      <c r="C5" s="68"/>
      <c r="D5" s="68"/>
      <c r="E5" s="68"/>
      <c r="F5" s="68"/>
      <c r="G5" s="68"/>
    </row>
    <row r="6" spans="1:7" x14ac:dyDescent="0.25">
      <c r="A6" s="68"/>
      <c r="B6" s="68"/>
      <c r="C6" s="68"/>
      <c r="D6" s="68"/>
      <c r="E6" s="68"/>
      <c r="F6" s="68"/>
      <c r="G6" s="68"/>
    </row>
    <row r="7" spans="1:7" x14ac:dyDescent="0.25">
      <c r="A7" s="68"/>
      <c r="B7" s="68"/>
      <c r="C7" s="68"/>
      <c r="D7" s="68"/>
      <c r="E7" s="68"/>
      <c r="F7" s="68"/>
      <c r="G7" s="68"/>
    </row>
    <row r="8" spans="1:7" x14ac:dyDescent="0.25">
      <c r="A8" s="68"/>
      <c r="B8" s="68"/>
      <c r="C8" s="68"/>
      <c r="D8" s="68"/>
      <c r="E8" s="68"/>
      <c r="F8" s="68"/>
      <c r="G8" s="68"/>
    </row>
    <row r="9" spans="1:7" x14ac:dyDescent="0.25">
      <c r="A9" s="68"/>
      <c r="B9" s="68"/>
      <c r="C9" s="68"/>
      <c r="D9" s="68"/>
      <c r="E9" s="68"/>
      <c r="F9" s="68"/>
      <c r="G9" s="68"/>
    </row>
    <row r="10" spans="1:7" x14ac:dyDescent="0.25">
      <c r="A10" s="68"/>
      <c r="B10" s="68"/>
      <c r="C10" s="68"/>
      <c r="D10" s="68"/>
      <c r="E10" s="68"/>
      <c r="F10" s="68"/>
      <c r="G10" s="68"/>
    </row>
    <row r="11" spans="1:7" x14ac:dyDescent="0.25">
      <c r="A11" s="68"/>
      <c r="B11" s="68"/>
      <c r="C11" s="68"/>
      <c r="D11" s="68"/>
      <c r="E11" s="68"/>
      <c r="F11" s="68"/>
      <c r="G11" s="68"/>
    </row>
    <row r="12" spans="1:7" x14ac:dyDescent="0.25">
      <c r="A12" s="68"/>
      <c r="B12" s="68"/>
      <c r="C12" s="68"/>
      <c r="D12" s="68"/>
      <c r="E12" s="68"/>
      <c r="F12" s="68"/>
      <c r="G12" s="68"/>
    </row>
    <row r="13" spans="1:7" x14ac:dyDescent="0.25">
      <c r="A13" s="68"/>
      <c r="B13" s="68"/>
      <c r="C13" s="68"/>
      <c r="D13" s="68"/>
      <c r="E13" s="68"/>
      <c r="F13" s="68"/>
      <c r="G13" s="68"/>
    </row>
    <row r="14" spans="1:7" x14ac:dyDescent="0.25">
      <c r="A14" s="68"/>
      <c r="B14" s="68"/>
      <c r="C14" s="68"/>
      <c r="D14" s="68"/>
      <c r="E14" s="68"/>
      <c r="F14" s="68"/>
      <c r="G14" s="68"/>
    </row>
    <row r="15" spans="1:7" x14ac:dyDescent="0.25">
      <c r="A15" s="68"/>
      <c r="B15" s="68"/>
      <c r="C15" s="68"/>
      <c r="D15" s="68"/>
      <c r="E15" s="68"/>
      <c r="F15" s="68"/>
      <c r="G15" s="68"/>
    </row>
    <row r="16" spans="1:7" x14ac:dyDescent="0.25">
      <c r="A16" s="68"/>
      <c r="B16" s="68"/>
      <c r="C16" s="68"/>
      <c r="D16" s="68"/>
      <c r="E16" s="68"/>
      <c r="F16" s="68"/>
      <c r="G16" s="68"/>
    </row>
  </sheetData>
  <mergeCells count="1">
    <mergeCell ref="A1:G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T85"/>
  <sheetViews>
    <sheetView tabSelected="1" workbookViewId="0">
      <selection activeCell="B4" sqref="B4"/>
    </sheetView>
  </sheetViews>
  <sheetFormatPr defaultRowHeight="15" x14ac:dyDescent="0.25"/>
  <cols>
    <col min="1" max="1" width="20.85546875" customWidth="1"/>
    <col min="2" max="2" width="16.28515625" customWidth="1"/>
    <col min="3" max="8" width="3.7109375" customWidth="1"/>
    <col min="9" max="9" width="3.7109375" style="6" customWidth="1"/>
    <col min="10" max="10" width="3.7109375" style="29" customWidth="1"/>
    <col min="11" max="11" width="3.7109375" style="6" customWidth="1"/>
    <col min="12" max="13" width="3.7109375" style="7" customWidth="1"/>
    <col min="14" max="19" width="3.7109375" style="6" customWidth="1"/>
    <col min="20" max="20" width="4" style="6" customWidth="1"/>
  </cols>
  <sheetData>
    <row r="2" spans="1:20" s="16" customFormat="1" ht="33.75" customHeight="1" thickBot="1" x14ac:dyDescent="0.3">
      <c r="B2" s="69" t="s">
        <v>34</v>
      </c>
      <c r="C2" s="69"/>
      <c r="D2" s="69"/>
      <c r="E2" s="69"/>
      <c r="F2" s="69" t="s">
        <v>35</v>
      </c>
      <c r="G2" s="69"/>
      <c r="H2" s="69"/>
      <c r="I2" s="70"/>
      <c r="J2" s="71" t="s">
        <v>36</v>
      </c>
      <c r="K2" s="72"/>
      <c r="L2" s="72"/>
      <c r="M2" s="72"/>
      <c r="N2" s="72"/>
      <c r="O2" s="72"/>
      <c r="P2" s="72"/>
      <c r="Q2" s="72"/>
      <c r="R2" s="73" t="s">
        <v>37</v>
      </c>
      <c r="S2" s="73"/>
      <c r="T2" s="30"/>
    </row>
    <row r="3" spans="1:20" ht="15.75" hidden="1" thickBot="1" x14ac:dyDescent="0.3">
      <c r="A3" s="2" t="s">
        <v>33</v>
      </c>
      <c r="B3" s="2" t="s">
        <v>32</v>
      </c>
      <c r="I3" s="8"/>
      <c r="J3" s="28"/>
      <c r="K3" s="8"/>
      <c r="L3" s="9"/>
      <c r="M3" s="9"/>
      <c r="N3" s="8"/>
      <c r="O3" s="8"/>
      <c r="P3" s="8"/>
      <c r="Q3" s="8"/>
      <c r="R3" s="8"/>
      <c r="S3" s="8"/>
      <c r="T3" s="8"/>
    </row>
    <row r="4" spans="1:20" s="3" customFormat="1" ht="165" thickBot="1" x14ac:dyDescent="0.3">
      <c r="A4" s="2" t="s">
        <v>30</v>
      </c>
      <c r="B4" s="11" t="s">
        <v>72</v>
      </c>
      <c r="C4" s="12" t="s">
        <v>82</v>
      </c>
      <c r="D4" s="12" t="s">
        <v>75</v>
      </c>
      <c r="E4" s="13" t="s">
        <v>78</v>
      </c>
      <c r="F4" s="12" t="s">
        <v>76</v>
      </c>
      <c r="G4" s="12" t="s">
        <v>79</v>
      </c>
      <c r="H4" s="12" t="s">
        <v>80</v>
      </c>
      <c r="I4" s="15" t="s">
        <v>81</v>
      </c>
      <c r="J4" s="14" t="s">
        <v>26</v>
      </c>
      <c r="K4" s="14" t="s">
        <v>77</v>
      </c>
      <c r="L4" s="14" t="s">
        <v>70</v>
      </c>
      <c r="M4" s="14" t="s">
        <v>28</v>
      </c>
      <c r="N4" s="14" t="s">
        <v>27</v>
      </c>
      <c r="O4" s="14" t="s">
        <v>71</v>
      </c>
      <c r="P4" s="14" t="s">
        <v>74</v>
      </c>
      <c r="Q4" s="15" t="s">
        <v>73</v>
      </c>
      <c r="R4" s="14" t="s">
        <v>25</v>
      </c>
      <c r="S4" s="15" t="s">
        <v>29</v>
      </c>
      <c r="T4" s="10" t="s">
        <v>31</v>
      </c>
    </row>
    <row r="5" spans="1:20" s="8" customFormat="1" x14ac:dyDescent="0.25">
      <c r="A5" s="36" t="s">
        <v>48</v>
      </c>
      <c r="B5" s="45"/>
      <c r="C5" s="46"/>
      <c r="D5" s="46"/>
      <c r="E5" s="47"/>
      <c r="F5" s="48"/>
      <c r="G5" s="48"/>
      <c r="H5" s="48"/>
      <c r="I5" s="49"/>
      <c r="J5" s="48"/>
      <c r="K5" s="48"/>
      <c r="L5" s="48"/>
      <c r="M5" s="48"/>
      <c r="N5" s="48"/>
      <c r="O5" s="48"/>
      <c r="P5" s="48"/>
      <c r="Q5" s="49"/>
      <c r="R5" s="48"/>
      <c r="S5" s="49"/>
      <c r="T5" s="31"/>
    </row>
    <row r="6" spans="1:20" s="8" customFormat="1" x14ac:dyDescent="0.25">
      <c r="A6" s="38" t="s">
        <v>46</v>
      </c>
      <c r="B6" s="42"/>
      <c r="C6" s="43"/>
      <c r="D6" s="43"/>
      <c r="E6" s="44"/>
      <c r="F6" s="39"/>
      <c r="G6" s="39"/>
      <c r="H6" s="39"/>
      <c r="I6" s="41"/>
      <c r="J6" s="39"/>
      <c r="K6" s="39"/>
      <c r="L6" s="39"/>
      <c r="M6" s="39"/>
      <c r="N6" s="39"/>
      <c r="O6" s="39"/>
      <c r="P6" s="39"/>
      <c r="Q6" s="41"/>
      <c r="R6" s="39"/>
      <c r="S6" s="41"/>
      <c r="T6" s="31"/>
    </row>
    <row r="7" spans="1:20" s="62" customFormat="1" x14ac:dyDescent="0.25">
      <c r="A7" s="53" t="s">
        <v>41</v>
      </c>
      <c r="B7" s="54">
        <v>1</v>
      </c>
      <c r="C7" s="55">
        <v>1</v>
      </c>
      <c r="D7" s="55">
        <v>1</v>
      </c>
      <c r="E7" s="56">
        <v>1</v>
      </c>
      <c r="F7" s="57">
        <v>1</v>
      </c>
      <c r="G7" s="57"/>
      <c r="H7" s="57"/>
      <c r="I7" s="58"/>
      <c r="J7" s="57">
        <v>1</v>
      </c>
      <c r="K7" s="57"/>
      <c r="L7" s="57"/>
      <c r="M7" s="57"/>
      <c r="N7" s="59">
        <v>1</v>
      </c>
      <c r="O7" s="59">
        <v>1</v>
      </c>
      <c r="P7" s="60">
        <v>1</v>
      </c>
      <c r="Q7" s="58"/>
      <c r="R7" s="57">
        <v>1</v>
      </c>
      <c r="S7" s="58"/>
      <c r="T7" s="61">
        <v>10</v>
      </c>
    </row>
    <row r="8" spans="1:20" s="8" customFormat="1" x14ac:dyDescent="0.25">
      <c r="A8" s="34" t="s">
        <v>42</v>
      </c>
      <c r="B8" s="18">
        <v>1</v>
      </c>
      <c r="C8" s="19">
        <v>1</v>
      </c>
      <c r="D8" s="19">
        <v>1</v>
      </c>
      <c r="E8" s="20">
        <v>1</v>
      </c>
      <c r="F8" s="21"/>
      <c r="G8" s="21">
        <v>1</v>
      </c>
      <c r="H8" s="21">
        <v>1</v>
      </c>
      <c r="I8" s="22"/>
      <c r="J8" s="21">
        <v>1</v>
      </c>
      <c r="K8" s="21"/>
      <c r="L8" s="21"/>
      <c r="M8" s="21"/>
      <c r="N8" s="35">
        <v>1</v>
      </c>
      <c r="O8" s="35">
        <v>1</v>
      </c>
      <c r="P8" s="39">
        <v>1</v>
      </c>
      <c r="Q8" s="22"/>
      <c r="R8" s="21">
        <v>1</v>
      </c>
      <c r="S8" s="22"/>
      <c r="T8" s="31">
        <v>11</v>
      </c>
    </row>
    <row r="9" spans="1:20" s="8" customFormat="1" x14ac:dyDescent="0.25">
      <c r="A9" s="34" t="s">
        <v>43</v>
      </c>
      <c r="B9" s="18">
        <v>1</v>
      </c>
      <c r="C9" s="19">
        <v>1</v>
      </c>
      <c r="D9" s="19">
        <v>1</v>
      </c>
      <c r="E9" s="20">
        <v>1</v>
      </c>
      <c r="F9" s="21"/>
      <c r="G9" s="21">
        <v>1</v>
      </c>
      <c r="H9" s="21">
        <v>1</v>
      </c>
      <c r="I9" s="22"/>
      <c r="J9" s="21">
        <v>1</v>
      </c>
      <c r="K9" s="21"/>
      <c r="L9" s="21"/>
      <c r="M9" s="21"/>
      <c r="N9" s="35">
        <v>1</v>
      </c>
      <c r="O9" s="35">
        <v>1</v>
      </c>
      <c r="P9" s="39">
        <v>1</v>
      </c>
      <c r="Q9" s="22"/>
      <c r="R9" s="21"/>
      <c r="S9" s="22">
        <v>1</v>
      </c>
      <c r="T9" s="31">
        <v>11</v>
      </c>
    </row>
    <row r="10" spans="1:20" s="8" customFormat="1" x14ac:dyDescent="0.25">
      <c r="A10" s="34" t="s">
        <v>44</v>
      </c>
      <c r="B10" s="18">
        <v>1</v>
      </c>
      <c r="C10" s="19">
        <v>1</v>
      </c>
      <c r="D10" s="19">
        <v>1</v>
      </c>
      <c r="E10" s="20">
        <v>1</v>
      </c>
      <c r="F10" s="21"/>
      <c r="G10" s="21">
        <v>1</v>
      </c>
      <c r="H10" s="21"/>
      <c r="I10" s="22">
        <v>1</v>
      </c>
      <c r="J10" s="21">
        <v>1</v>
      </c>
      <c r="K10" s="21"/>
      <c r="L10" s="21"/>
      <c r="M10" s="21"/>
      <c r="N10" s="35">
        <v>1</v>
      </c>
      <c r="O10" s="35">
        <v>1</v>
      </c>
      <c r="P10" s="39">
        <v>1</v>
      </c>
      <c r="Q10" s="22"/>
      <c r="R10" s="21">
        <v>1</v>
      </c>
      <c r="S10" s="22"/>
      <c r="T10" s="31">
        <v>11</v>
      </c>
    </row>
    <row r="11" spans="1:20" s="8" customFormat="1" x14ac:dyDescent="0.25">
      <c r="A11" s="34" t="s">
        <v>45</v>
      </c>
      <c r="B11" s="18">
        <v>1</v>
      </c>
      <c r="C11" s="19">
        <v>1</v>
      </c>
      <c r="D11" s="19">
        <v>1</v>
      </c>
      <c r="E11" s="20">
        <v>1</v>
      </c>
      <c r="F11" s="21"/>
      <c r="G11" s="21">
        <v>1</v>
      </c>
      <c r="H11" s="21"/>
      <c r="I11" s="22">
        <v>1</v>
      </c>
      <c r="J11" s="21">
        <v>1</v>
      </c>
      <c r="K11" s="21"/>
      <c r="L11" s="21"/>
      <c r="M11" s="21"/>
      <c r="N11" s="35">
        <v>1</v>
      </c>
      <c r="O11" s="35">
        <v>1</v>
      </c>
      <c r="P11" s="39">
        <v>1</v>
      </c>
      <c r="Q11" s="22"/>
      <c r="R11" s="21"/>
      <c r="S11" s="22">
        <v>1</v>
      </c>
      <c r="T11" s="31">
        <v>11</v>
      </c>
    </row>
    <row r="12" spans="1:20" s="8" customFormat="1" x14ac:dyDescent="0.25">
      <c r="A12" s="38" t="s">
        <v>47</v>
      </c>
      <c r="B12" s="42"/>
      <c r="C12" s="43"/>
      <c r="D12" s="43"/>
      <c r="E12" s="44"/>
      <c r="F12" s="39"/>
      <c r="G12" s="39"/>
      <c r="H12" s="39"/>
      <c r="I12" s="41"/>
      <c r="J12" s="39"/>
      <c r="K12" s="39"/>
      <c r="L12" s="39"/>
      <c r="M12" s="39"/>
      <c r="N12" s="39"/>
      <c r="O12" s="39"/>
      <c r="P12" s="39"/>
      <c r="Q12" s="41"/>
      <c r="R12" s="39"/>
      <c r="S12" s="41"/>
      <c r="T12" s="31"/>
    </row>
    <row r="13" spans="1:20" s="62" customFormat="1" x14ac:dyDescent="0.25">
      <c r="A13" s="53" t="s">
        <v>41</v>
      </c>
      <c r="B13" s="54">
        <v>1</v>
      </c>
      <c r="C13" s="55">
        <v>1</v>
      </c>
      <c r="D13" s="55">
        <v>1</v>
      </c>
      <c r="E13" s="56">
        <v>1</v>
      </c>
      <c r="F13" s="57">
        <v>1</v>
      </c>
      <c r="G13" s="57"/>
      <c r="H13" s="57"/>
      <c r="I13" s="58"/>
      <c r="J13" s="57">
        <v>1</v>
      </c>
      <c r="K13" s="57"/>
      <c r="L13" s="57"/>
      <c r="M13" s="57"/>
      <c r="N13" s="59">
        <v>1</v>
      </c>
      <c r="O13" s="59">
        <v>1</v>
      </c>
      <c r="P13" s="57"/>
      <c r="Q13" s="63">
        <v>1</v>
      </c>
      <c r="R13" s="57">
        <v>1</v>
      </c>
      <c r="S13" s="58"/>
      <c r="T13" s="61">
        <v>10</v>
      </c>
    </row>
    <row r="14" spans="1:20" s="8" customFormat="1" x14ac:dyDescent="0.25">
      <c r="A14" s="32" t="s">
        <v>42</v>
      </c>
      <c r="B14" s="18">
        <v>1</v>
      </c>
      <c r="C14" s="19">
        <v>1</v>
      </c>
      <c r="D14" s="19">
        <v>1</v>
      </c>
      <c r="E14" s="20">
        <v>1</v>
      </c>
      <c r="F14" s="21"/>
      <c r="G14" s="21">
        <v>1</v>
      </c>
      <c r="H14" s="21">
        <v>1</v>
      </c>
      <c r="I14" s="22"/>
      <c r="J14" s="21">
        <v>1</v>
      </c>
      <c r="K14" s="21"/>
      <c r="L14" s="21"/>
      <c r="M14" s="21"/>
      <c r="N14" s="35">
        <v>1</v>
      </c>
      <c r="O14" s="35">
        <v>1</v>
      </c>
      <c r="P14" s="21"/>
      <c r="Q14" s="41">
        <v>1</v>
      </c>
      <c r="R14" s="21">
        <v>1</v>
      </c>
      <c r="S14" s="22"/>
      <c r="T14" s="31">
        <v>11</v>
      </c>
    </row>
    <row r="15" spans="1:20" s="8" customFormat="1" x14ac:dyDescent="0.25">
      <c r="A15" s="32" t="s">
        <v>43</v>
      </c>
      <c r="B15" s="18">
        <v>1</v>
      </c>
      <c r="C15" s="19">
        <v>1</v>
      </c>
      <c r="D15" s="19">
        <v>1</v>
      </c>
      <c r="E15" s="20">
        <v>1</v>
      </c>
      <c r="F15" s="21"/>
      <c r="G15" s="21">
        <v>1</v>
      </c>
      <c r="H15" s="21">
        <v>1</v>
      </c>
      <c r="I15" s="22"/>
      <c r="J15" s="21">
        <v>1</v>
      </c>
      <c r="K15" s="21"/>
      <c r="L15" s="21"/>
      <c r="M15" s="21"/>
      <c r="N15" s="35">
        <v>1</v>
      </c>
      <c r="O15" s="35">
        <v>1</v>
      </c>
      <c r="P15" s="21"/>
      <c r="Q15" s="41">
        <v>1</v>
      </c>
      <c r="R15" s="21"/>
      <c r="S15" s="22">
        <v>1</v>
      </c>
      <c r="T15" s="31">
        <v>11</v>
      </c>
    </row>
    <row r="16" spans="1:20" s="8" customFormat="1" x14ac:dyDescent="0.25">
      <c r="A16" s="32" t="s">
        <v>44</v>
      </c>
      <c r="B16" s="18">
        <v>1</v>
      </c>
      <c r="C16" s="19">
        <v>1</v>
      </c>
      <c r="D16" s="19">
        <v>1</v>
      </c>
      <c r="E16" s="20">
        <v>1</v>
      </c>
      <c r="F16" s="19"/>
      <c r="G16" s="19">
        <v>1</v>
      </c>
      <c r="H16" s="19"/>
      <c r="I16" s="22">
        <v>1</v>
      </c>
      <c r="J16" s="21">
        <v>1</v>
      </c>
      <c r="K16" s="21"/>
      <c r="L16" s="21"/>
      <c r="M16" s="21"/>
      <c r="N16" s="35">
        <v>1</v>
      </c>
      <c r="O16" s="35">
        <v>1</v>
      </c>
      <c r="P16" s="21"/>
      <c r="Q16" s="41">
        <v>1</v>
      </c>
      <c r="R16" s="21">
        <v>1</v>
      </c>
      <c r="S16" s="22"/>
      <c r="T16" s="31">
        <v>11</v>
      </c>
    </row>
    <row r="17" spans="1:20" s="8" customFormat="1" x14ac:dyDescent="0.25">
      <c r="A17" s="32" t="s">
        <v>45</v>
      </c>
      <c r="B17" s="18">
        <v>1</v>
      </c>
      <c r="C17" s="19">
        <v>1</v>
      </c>
      <c r="D17" s="19">
        <v>1</v>
      </c>
      <c r="E17" s="20">
        <v>1</v>
      </c>
      <c r="F17" s="19"/>
      <c r="G17" s="19">
        <v>1</v>
      </c>
      <c r="H17" s="19"/>
      <c r="I17" s="22">
        <v>1</v>
      </c>
      <c r="J17" s="21">
        <v>1</v>
      </c>
      <c r="K17" s="21"/>
      <c r="L17" s="21"/>
      <c r="M17" s="21"/>
      <c r="N17" s="35">
        <v>1</v>
      </c>
      <c r="O17" s="35">
        <v>1</v>
      </c>
      <c r="P17" s="21"/>
      <c r="Q17" s="41">
        <v>1</v>
      </c>
      <c r="R17" s="21"/>
      <c r="S17" s="22">
        <v>1</v>
      </c>
      <c r="T17" s="31">
        <v>11</v>
      </c>
    </row>
    <row r="18" spans="1:20" s="8" customFormat="1" x14ac:dyDescent="0.25">
      <c r="A18" s="5" t="s">
        <v>49</v>
      </c>
      <c r="B18" s="50"/>
      <c r="C18" s="51"/>
      <c r="D18" s="51"/>
      <c r="E18" s="52"/>
      <c r="F18" s="51"/>
      <c r="G18" s="51"/>
      <c r="H18" s="51"/>
      <c r="I18" s="37"/>
      <c r="J18" s="35"/>
      <c r="K18" s="35"/>
      <c r="L18" s="35"/>
      <c r="M18" s="35"/>
      <c r="N18" s="35"/>
      <c r="O18" s="35"/>
      <c r="P18" s="35"/>
      <c r="Q18" s="37"/>
      <c r="R18" s="35"/>
      <c r="S18" s="37"/>
      <c r="T18" s="31"/>
    </row>
    <row r="19" spans="1:20" s="8" customFormat="1" x14ac:dyDescent="0.25">
      <c r="A19" s="38" t="s">
        <v>46</v>
      </c>
      <c r="B19" s="42"/>
      <c r="C19" s="43"/>
      <c r="D19" s="43"/>
      <c r="E19" s="44"/>
      <c r="F19" s="43"/>
      <c r="G19" s="43"/>
      <c r="H19" s="43"/>
      <c r="I19" s="41"/>
      <c r="J19" s="39"/>
      <c r="K19" s="39"/>
      <c r="L19" s="39"/>
      <c r="M19" s="39"/>
      <c r="N19" s="39"/>
      <c r="O19" s="39"/>
      <c r="P19" s="39"/>
      <c r="Q19" s="41"/>
      <c r="R19" s="39"/>
      <c r="S19" s="41"/>
      <c r="T19" s="31"/>
    </row>
    <row r="20" spans="1:20" s="62" customFormat="1" x14ac:dyDescent="0.25">
      <c r="A20" s="64" t="s">
        <v>41</v>
      </c>
      <c r="B20" s="54">
        <v>1</v>
      </c>
      <c r="C20" s="55">
        <v>1</v>
      </c>
      <c r="D20" s="55">
        <v>1</v>
      </c>
      <c r="E20" s="56">
        <v>1</v>
      </c>
      <c r="F20" s="57">
        <v>1</v>
      </c>
      <c r="G20" s="57"/>
      <c r="H20" s="57"/>
      <c r="I20" s="58"/>
      <c r="J20" s="57">
        <v>1</v>
      </c>
      <c r="K20" s="59">
        <v>1</v>
      </c>
      <c r="L20" s="59">
        <v>1</v>
      </c>
      <c r="M20" s="59">
        <v>1</v>
      </c>
      <c r="N20" s="57"/>
      <c r="O20" s="57"/>
      <c r="P20" s="60">
        <v>1</v>
      </c>
      <c r="Q20" s="58"/>
      <c r="R20" s="57">
        <v>1</v>
      </c>
      <c r="S20" s="58"/>
      <c r="T20" s="61">
        <v>11</v>
      </c>
    </row>
    <row r="21" spans="1:20" s="8" customFormat="1" x14ac:dyDescent="0.25">
      <c r="A21" s="33" t="s">
        <v>42</v>
      </c>
      <c r="B21" s="18">
        <v>1</v>
      </c>
      <c r="C21" s="19">
        <v>1</v>
      </c>
      <c r="D21" s="19">
        <v>1</v>
      </c>
      <c r="E21" s="20">
        <v>1</v>
      </c>
      <c r="F21" s="21"/>
      <c r="G21" s="21">
        <v>1</v>
      </c>
      <c r="H21" s="21">
        <v>1</v>
      </c>
      <c r="I21" s="22"/>
      <c r="J21" s="21">
        <v>1</v>
      </c>
      <c r="K21" s="35">
        <v>1</v>
      </c>
      <c r="L21" s="35">
        <v>1</v>
      </c>
      <c r="M21" s="35">
        <v>1</v>
      </c>
      <c r="N21" s="21"/>
      <c r="O21" s="21"/>
      <c r="P21" s="39">
        <v>1</v>
      </c>
      <c r="Q21" s="22"/>
      <c r="R21" s="21">
        <v>1</v>
      </c>
      <c r="S21" s="22"/>
      <c r="T21" s="31">
        <v>12</v>
      </c>
    </row>
    <row r="22" spans="1:20" s="8" customFormat="1" x14ac:dyDescent="0.25">
      <c r="A22" s="33" t="s">
        <v>43</v>
      </c>
      <c r="B22" s="18">
        <v>1</v>
      </c>
      <c r="C22" s="19">
        <v>1</v>
      </c>
      <c r="D22" s="19">
        <v>1</v>
      </c>
      <c r="E22" s="20">
        <v>1</v>
      </c>
      <c r="F22" s="21"/>
      <c r="G22" s="21">
        <v>1</v>
      </c>
      <c r="H22" s="21">
        <v>1</v>
      </c>
      <c r="I22" s="22"/>
      <c r="J22" s="21">
        <v>1</v>
      </c>
      <c r="K22" s="35">
        <v>1</v>
      </c>
      <c r="L22" s="35">
        <v>1</v>
      </c>
      <c r="M22" s="35">
        <v>1</v>
      </c>
      <c r="N22" s="21"/>
      <c r="O22" s="21"/>
      <c r="P22" s="39">
        <v>1</v>
      </c>
      <c r="Q22" s="22"/>
      <c r="R22" s="21"/>
      <c r="S22" s="22">
        <v>1</v>
      </c>
      <c r="T22" s="31">
        <v>12</v>
      </c>
    </row>
    <row r="23" spans="1:20" s="8" customFormat="1" x14ac:dyDescent="0.25">
      <c r="A23" s="33" t="s">
        <v>44</v>
      </c>
      <c r="B23" s="18">
        <v>1</v>
      </c>
      <c r="C23" s="19">
        <v>1</v>
      </c>
      <c r="D23" s="19">
        <v>1</v>
      </c>
      <c r="E23" s="20">
        <v>1</v>
      </c>
      <c r="F23" s="21"/>
      <c r="G23" s="21">
        <v>1</v>
      </c>
      <c r="H23" s="21"/>
      <c r="I23" s="22">
        <v>1</v>
      </c>
      <c r="J23" s="21">
        <v>1</v>
      </c>
      <c r="K23" s="35">
        <v>1</v>
      </c>
      <c r="L23" s="35">
        <v>1</v>
      </c>
      <c r="M23" s="35">
        <v>1</v>
      </c>
      <c r="N23" s="21"/>
      <c r="O23" s="21"/>
      <c r="P23" s="39">
        <v>1</v>
      </c>
      <c r="Q23" s="22"/>
      <c r="R23" s="21">
        <v>1</v>
      </c>
      <c r="S23" s="22"/>
      <c r="T23" s="31">
        <v>12</v>
      </c>
    </row>
    <row r="24" spans="1:20" s="8" customFormat="1" x14ac:dyDescent="0.25">
      <c r="A24" s="33" t="s">
        <v>45</v>
      </c>
      <c r="B24" s="18">
        <v>1</v>
      </c>
      <c r="C24" s="19">
        <v>1</v>
      </c>
      <c r="D24" s="19">
        <v>1</v>
      </c>
      <c r="E24" s="20">
        <v>1</v>
      </c>
      <c r="F24" s="21"/>
      <c r="G24" s="21">
        <v>1</v>
      </c>
      <c r="H24" s="21"/>
      <c r="I24" s="22">
        <v>1</v>
      </c>
      <c r="J24" s="21">
        <v>1</v>
      </c>
      <c r="K24" s="35">
        <v>1</v>
      </c>
      <c r="L24" s="35">
        <v>1</v>
      </c>
      <c r="M24" s="35">
        <v>1</v>
      </c>
      <c r="N24" s="21"/>
      <c r="O24" s="21"/>
      <c r="P24" s="39">
        <v>1</v>
      </c>
      <c r="Q24" s="22"/>
      <c r="R24" s="21"/>
      <c r="S24" s="22">
        <v>1</v>
      </c>
      <c r="T24" s="31">
        <v>12</v>
      </c>
    </row>
    <row r="25" spans="1:20" s="8" customFormat="1" x14ac:dyDescent="0.25">
      <c r="A25" s="40" t="s">
        <v>47</v>
      </c>
      <c r="B25" s="42"/>
      <c r="C25" s="43"/>
      <c r="D25" s="43"/>
      <c r="E25" s="44"/>
      <c r="F25" s="39"/>
      <c r="G25" s="39"/>
      <c r="H25" s="39"/>
      <c r="I25" s="41"/>
      <c r="J25" s="39"/>
      <c r="K25" s="39"/>
      <c r="L25" s="39"/>
      <c r="M25" s="39"/>
      <c r="N25" s="39"/>
      <c r="O25" s="39"/>
      <c r="P25" s="39"/>
      <c r="Q25" s="41"/>
      <c r="R25" s="21"/>
      <c r="S25" s="22"/>
      <c r="T25" s="31"/>
    </row>
    <row r="26" spans="1:20" s="65" customFormat="1" x14ac:dyDescent="0.25">
      <c r="A26" s="64" t="s">
        <v>41</v>
      </c>
      <c r="B26" s="54">
        <v>1</v>
      </c>
      <c r="C26" s="55">
        <v>1</v>
      </c>
      <c r="D26" s="55">
        <v>1</v>
      </c>
      <c r="E26" s="56">
        <v>1</v>
      </c>
      <c r="F26" s="57">
        <v>1</v>
      </c>
      <c r="G26" s="57"/>
      <c r="H26" s="57"/>
      <c r="I26" s="58"/>
      <c r="J26" s="57">
        <v>1</v>
      </c>
      <c r="K26" s="59">
        <v>1</v>
      </c>
      <c r="L26" s="59">
        <v>1</v>
      </c>
      <c r="M26" s="59">
        <v>1</v>
      </c>
      <c r="N26" s="57"/>
      <c r="O26" s="57"/>
      <c r="P26" s="57"/>
      <c r="Q26" s="63">
        <v>1</v>
      </c>
      <c r="R26" s="57">
        <v>1</v>
      </c>
      <c r="S26" s="58"/>
      <c r="T26" s="61">
        <v>11</v>
      </c>
    </row>
    <row r="27" spans="1:20" x14ac:dyDescent="0.25">
      <c r="A27" s="33" t="s">
        <v>42</v>
      </c>
      <c r="B27" s="18">
        <v>1</v>
      </c>
      <c r="C27" s="19">
        <v>1</v>
      </c>
      <c r="D27" s="19">
        <v>1</v>
      </c>
      <c r="E27" s="20">
        <v>1</v>
      </c>
      <c r="F27" s="21"/>
      <c r="G27" s="21">
        <v>1</v>
      </c>
      <c r="H27" s="21">
        <v>1</v>
      </c>
      <c r="I27" s="22"/>
      <c r="J27" s="21">
        <v>1</v>
      </c>
      <c r="K27" s="35">
        <v>1</v>
      </c>
      <c r="L27" s="35">
        <v>1</v>
      </c>
      <c r="M27" s="35">
        <v>1</v>
      </c>
      <c r="N27" s="21"/>
      <c r="O27" s="21"/>
      <c r="P27" s="21"/>
      <c r="Q27" s="41">
        <v>1</v>
      </c>
      <c r="R27" s="21">
        <v>1</v>
      </c>
      <c r="S27" s="22"/>
      <c r="T27" s="31">
        <v>12</v>
      </c>
    </row>
    <row r="28" spans="1:20" x14ac:dyDescent="0.25">
      <c r="A28" s="33" t="s">
        <v>43</v>
      </c>
      <c r="B28" s="18">
        <v>1</v>
      </c>
      <c r="C28" s="19">
        <v>1</v>
      </c>
      <c r="D28" s="19">
        <v>1</v>
      </c>
      <c r="E28" s="20">
        <v>1</v>
      </c>
      <c r="F28" s="21"/>
      <c r="G28" s="21">
        <v>1</v>
      </c>
      <c r="H28" s="21">
        <v>1</v>
      </c>
      <c r="I28" s="22"/>
      <c r="J28" s="21">
        <v>1</v>
      </c>
      <c r="K28" s="35">
        <v>1</v>
      </c>
      <c r="L28" s="35">
        <v>1</v>
      </c>
      <c r="M28" s="35">
        <v>1</v>
      </c>
      <c r="N28" s="21"/>
      <c r="O28" s="21"/>
      <c r="P28" s="21"/>
      <c r="Q28" s="41">
        <v>1</v>
      </c>
      <c r="R28" s="21"/>
      <c r="S28" s="22">
        <v>1</v>
      </c>
      <c r="T28" s="31">
        <v>12</v>
      </c>
    </row>
    <row r="29" spans="1:20" x14ac:dyDescent="0.25">
      <c r="A29" s="32" t="s">
        <v>44</v>
      </c>
      <c r="B29" s="18">
        <v>1</v>
      </c>
      <c r="C29" s="19">
        <v>1</v>
      </c>
      <c r="D29" s="19">
        <v>1</v>
      </c>
      <c r="E29" s="20">
        <v>1</v>
      </c>
      <c r="F29" s="21"/>
      <c r="G29" s="21">
        <v>1</v>
      </c>
      <c r="H29" s="21"/>
      <c r="I29" s="22">
        <v>1</v>
      </c>
      <c r="J29" s="21">
        <v>1</v>
      </c>
      <c r="K29" s="35">
        <v>1</v>
      </c>
      <c r="L29" s="35">
        <v>1</v>
      </c>
      <c r="M29" s="35">
        <v>1</v>
      </c>
      <c r="N29" s="21"/>
      <c r="O29" s="21"/>
      <c r="P29" s="21"/>
      <c r="Q29" s="41">
        <v>1</v>
      </c>
      <c r="R29" s="21">
        <v>1</v>
      </c>
      <c r="S29" s="22"/>
      <c r="T29" s="31">
        <v>12</v>
      </c>
    </row>
    <row r="30" spans="1:20" x14ac:dyDescent="0.25">
      <c r="A30" s="32" t="s">
        <v>45</v>
      </c>
      <c r="B30" s="18">
        <v>1</v>
      </c>
      <c r="C30" s="19">
        <v>1</v>
      </c>
      <c r="D30" s="19">
        <v>1</v>
      </c>
      <c r="E30" s="20">
        <v>1</v>
      </c>
      <c r="F30" s="21"/>
      <c r="G30" s="21">
        <v>1</v>
      </c>
      <c r="H30" s="21"/>
      <c r="I30" s="22">
        <v>1</v>
      </c>
      <c r="J30" s="21">
        <v>1</v>
      </c>
      <c r="K30" s="35">
        <v>1</v>
      </c>
      <c r="L30" s="35">
        <v>1</v>
      </c>
      <c r="M30" s="35">
        <v>1</v>
      </c>
      <c r="N30" s="21"/>
      <c r="O30" s="21"/>
      <c r="P30" s="21"/>
      <c r="Q30" s="41">
        <v>1</v>
      </c>
      <c r="R30" s="21"/>
      <c r="S30" s="22">
        <v>1</v>
      </c>
      <c r="T30" s="31">
        <v>12</v>
      </c>
    </row>
    <row r="31" spans="1:20" ht="15.75" thickBot="1" x14ac:dyDescent="0.3">
      <c r="A31" s="17" t="s">
        <v>31</v>
      </c>
      <c r="B31" s="23">
        <v>20</v>
      </c>
      <c r="C31" s="24">
        <v>20</v>
      </c>
      <c r="D31" s="24">
        <v>20</v>
      </c>
      <c r="E31" s="25">
        <v>20</v>
      </c>
      <c r="F31" s="24">
        <v>4</v>
      </c>
      <c r="G31" s="24">
        <v>16</v>
      </c>
      <c r="H31" s="24">
        <v>8</v>
      </c>
      <c r="I31" s="27">
        <v>8</v>
      </c>
      <c r="J31" s="26">
        <v>20</v>
      </c>
      <c r="K31" s="26">
        <v>10</v>
      </c>
      <c r="L31" s="26">
        <v>10</v>
      </c>
      <c r="M31" s="26">
        <v>10</v>
      </c>
      <c r="N31" s="26">
        <v>10</v>
      </c>
      <c r="O31" s="26">
        <v>10</v>
      </c>
      <c r="P31" s="26">
        <v>10</v>
      </c>
      <c r="Q31" s="27">
        <v>10</v>
      </c>
      <c r="R31" s="26">
        <v>12</v>
      </c>
      <c r="S31" s="27">
        <v>8</v>
      </c>
      <c r="T31" s="31">
        <v>226</v>
      </c>
    </row>
    <row r="32" spans="1:20" x14ac:dyDescent="0.25">
      <c r="I32"/>
      <c r="J32"/>
      <c r="K32"/>
      <c r="L32"/>
      <c r="M32"/>
      <c r="N32"/>
      <c r="O32"/>
      <c r="P32"/>
      <c r="Q32"/>
      <c r="R32"/>
      <c r="S32"/>
      <c r="T32"/>
    </row>
    <row r="33" customFormat="1" x14ac:dyDescent="0.25"/>
    <row r="34" customFormat="1" x14ac:dyDescent="0.25"/>
    <row r="35" customFormat="1" x14ac:dyDescent="0.25"/>
    <row r="36" customFormat="1" x14ac:dyDescent="0.25"/>
    <row r="37" customFormat="1" ht="15.75" thickBot="1" x14ac:dyDescent="0.3"/>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ht="15.75" thickBot="1" x14ac:dyDescent="0.3"/>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ht="15.75" thickBot="1" x14ac:dyDescent="0.3"/>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ht="15.75" thickBot="1" x14ac:dyDescent="0.3"/>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ht="15.75" thickBot="1" x14ac:dyDescent="0.3"/>
  </sheetData>
  <mergeCells count="4">
    <mergeCell ref="B2:E2"/>
    <mergeCell ref="F2:I2"/>
    <mergeCell ref="J2:Q2"/>
    <mergeCell ref="R2:S2"/>
  </mergeCell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topLeftCell="A4" workbookViewId="0">
      <selection activeCell="A11" sqref="A11"/>
    </sheetView>
  </sheetViews>
  <sheetFormatPr defaultRowHeight="15" x14ac:dyDescent="0.25"/>
  <cols>
    <col min="1" max="1" width="31.28515625" style="66" bestFit="1" customWidth="1"/>
    <col min="2" max="2" width="96.28515625" style="67" customWidth="1"/>
  </cols>
  <sheetData>
    <row r="1" spans="1:2" ht="120" x14ac:dyDescent="0.25">
      <c r="A1" s="66" t="s">
        <v>72</v>
      </c>
      <c r="B1" s="67" t="s">
        <v>52</v>
      </c>
    </row>
    <row r="2" spans="1:2" ht="45" x14ac:dyDescent="0.25">
      <c r="A2" s="66" t="s">
        <v>82</v>
      </c>
      <c r="B2" s="67" t="s">
        <v>56</v>
      </c>
    </row>
    <row r="3" spans="1:2" ht="75" x14ac:dyDescent="0.25">
      <c r="A3" s="66" t="s">
        <v>75</v>
      </c>
      <c r="B3" s="67" t="s">
        <v>57</v>
      </c>
    </row>
    <row r="4" spans="1:2" ht="45" x14ac:dyDescent="0.25">
      <c r="A4" s="66" t="s">
        <v>78</v>
      </c>
      <c r="B4" s="67" t="s">
        <v>58</v>
      </c>
    </row>
    <row r="5" spans="1:2" ht="30" x14ac:dyDescent="0.25">
      <c r="A5" s="66" t="s">
        <v>76</v>
      </c>
      <c r="B5" s="67" t="s">
        <v>51</v>
      </c>
    </row>
    <row r="6" spans="1:2" ht="60" x14ac:dyDescent="0.25">
      <c r="A6" s="66" t="s">
        <v>79</v>
      </c>
      <c r="B6" s="67" t="s">
        <v>59</v>
      </c>
    </row>
    <row r="7" spans="1:2" ht="45" x14ac:dyDescent="0.25">
      <c r="A7" s="66" t="s">
        <v>80</v>
      </c>
      <c r="B7" s="67" t="s">
        <v>60</v>
      </c>
    </row>
    <row r="8" spans="1:2" ht="30" x14ac:dyDescent="0.25">
      <c r="A8" s="66" t="s">
        <v>81</v>
      </c>
      <c r="B8" s="67" t="s">
        <v>61</v>
      </c>
    </row>
    <row r="9" spans="1:2" ht="45" x14ac:dyDescent="0.25">
      <c r="A9" s="66" t="s">
        <v>26</v>
      </c>
      <c r="B9" s="67" t="s">
        <v>53</v>
      </c>
    </row>
    <row r="10" spans="1:2" ht="30" x14ac:dyDescent="0.25">
      <c r="A10" s="66" t="s">
        <v>77</v>
      </c>
      <c r="B10" s="67" t="s">
        <v>62</v>
      </c>
    </row>
    <row r="11" spans="1:2" x14ac:dyDescent="0.25">
      <c r="A11" s="66" t="s">
        <v>70</v>
      </c>
      <c r="B11" s="67" t="s">
        <v>54</v>
      </c>
    </row>
    <row r="12" spans="1:2" ht="45" x14ac:dyDescent="0.25">
      <c r="A12" s="66" t="s">
        <v>28</v>
      </c>
      <c r="B12" s="67" t="s">
        <v>63</v>
      </c>
    </row>
    <row r="13" spans="1:2" ht="45" x14ac:dyDescent="0.25">
      <c r="A13" s="66" t="s">
        <v>27</v>
      </c>
      <c r="B13" s="67" t="s">
        <v>64</v>
      </c>
    </row>
    <row r="14" spans="1:2" x14ac:dyDescent="0.25">
      <c r="A14" s="66" t="s">
        <v>71</v>
      </c>
      <c r="B14" s="67" t="s">
        <v>55</v>
      </c>
    </row>
    <row r="15" spans="1:2" x14ac:dyDescent="0.25">
      <c r="A15" s="66" t="s">
        <v>74</v>
      </c>
      <c r="B15" s="67" t="s">
        <v>65</v>
      </c>
    </row>
    <row r="16" spans="1:2" x14ac:dyDescent="0.25">
      <c r="A16" s="66" t="s">
        <v>73</v>
      </c>
      <c r="B16" s="67" t="s">
        <v>66</v>
      </c>
    </row>
    <row r="17" spans="1:2" x14ac:dyDescent="0.25">
      <c r="A17" s="66" t="s">
        <v>25</v>
      </c>
      <c r="B17" s="67" t="s">
        <v>67</v>
      </c>
    </row>
    <row r="18" spans="1:2" x14ac:dyDescent="0.25">
      <c r="A18" s="66" t="s">
        <v>29</v>
      </c>
      <c r="B18" s="67"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7"/>
  <sheetViews>
    <sheetView topLeftCell="A94" workbookViewId="0">
      <selection activeCell="D131" sqref="D131"/>
    </sheetView>
  </sheetViews>
  <sheetFormatPr defaultRowHeight="15" x14ac:dyDescent="0.25"/>
  <cols>
    <col min="1" max="1" width="16.42578125" bestFit="1" customWidth="1"/>
    <col min="2" max="2" width="14.85546875" bestFit="1" customWidth="1"/>
    <col min="3" max="3" width="16.140625" bestFit="1" customWidth="1"/>
    <col min="4" max="4" width="31.28515625" bestFit="1" customWidth="1"/>
  </cols>
  <sheetData>
    <row r="1" spans="1:8" x14ac:dyDescent="0.25">
      <c r="A1" t="s">
        <v>0</v>
      </c>
      <c r="B1" t="s">
        <v>1</v>
      </c>
      <c r="C1" t="s">
        <v>2</v>
      </c>
      <c r="D1" t="s">
        <v>3</v>
      </c>
      <c r="E1" t="s">
        <v>38</v>
      </c>
      <c r="F1" t="s">
        <v>39</v>
      </c>
      <c r="G1" t="s">
        <v>40</v>
      </c>
      <c r="H1" t="s">
        <v>50</v>
      </c>
    </row>
    <row r="2" spans="1:8" x14ac:dyDescent="0.25">
      <c r="A2" s="1" t="s">
        <v>4</v>
      </c>
      <c r="B2">
        <v>15</v>
      </c>
      <c r="C2" s="1" t="s">
        <v>5</v>
      </c>
      <c r="D2" s="1" t="s">
        <v>82</v>
      </c>
      <c r="E2" t="str">
        <f>LEFT(Table1[[#This Row],[target]],FIND("|",Table1[[#This Row],[target]])-1)</f>
        <v>Debug</v>
      </c>
      <c r="F2" t="str">
        <f>RIGHT(Table1[[#This Row],[target]],LEN(Table1[[#This Row],[target]])-FIND("|",Table1[[#This Row],[target]]))</f>
        <v>Win32</v>
      </c>
      <c r="G2" t="str">
        <f>IF("M5"=RIGHT(Table1[[#This Row],[config]],2),"GEQm5","LEQm4")</f>
        <v>LEQm4</v>
      </c>
      <c r="H2" s="4" t="str">
        <f>IF("M5"=RIGHT(Table1[[#This Row],[config]],2),LEFT(Table1[[#This Row],[config]],LEN(Table1[[#This Row],[config]])-2),Table1[[#This Row],[config]])</f>
        <v>Debug</v>
      </c>
    </row>
    <row r="3" spans="1:8" x14ac:dyDescent="0.25">
      <c r="A3" s="1" t="s">
        <v>4</v>
      </c>
      <c r="B3">
        <v>15</v>
      </c>
      <c r="C3" s="1" t="s">
        <v>5</v>
      </c>
      <c r="D3" s="1" t="s">
        <v>72</v>
      </c>
      <c r="E3" t="str">
        <f>LEFT(Table1[[#This Row],[target]],FIND("|",Table1[[#This Row],[target]])-1)</f>
        <v>Debug</v>
      </c>
      <c r="F3" t="str">
        <f>RIGHT(Table1[[#This Row],[target]],LEN(Table1[[#This Row],[target]])-FIND("|",Table1[[#This Row],[target]]))</f>
        <v>Win32</v>
      </c>
      <c r="G3" t="str">
        <f>IF("M5"=RIGHT(Table1[[#This Row],[config]],2),"GEQm5","LEQm4")</f>
        <v>LEQm4</v>
      </c>
      <c r="H3" s="4" t="str">
        <f>IF("M5"=RIGHT(Table1[[#This Row],[config]],2),LEFT(Table1[[#This Row],[config]],LEN(Table1[[#This Row],[config]])-2),Table1[[#This Row],[config]])</f>
        <v>Debug</v>
      </c>
    </row>
    <row r="4" spans="1:8" x14ac:dyDescent="0.25">
      <c r="A4" s="1" t="s">
        <v>4</v>
      </c>
      <c r="B4">
        <v>15</v>
      </c>
      <c r="C4" s="1" t="s">
        <v>5</v>
      </c>
      <c r="D4" s="1" t="s">
        <v>25</v>
      </c>
      <c r="E4" t="str">
        <f>LEFT(Table1[[#This Row],[target]],FIND("|",Table1[[#This Row],[target]])-1)</f>
        <v>Debug</v>
      </c>
      <c r="F4" t="str">
        <f>RIGHT(Table1[[#This Row],[target]],LEN(Table1[[#This Row],[target]])-FIND("|",Table1[[#This Row],[target]]))</f>
        <v>Win32</v>
      </c>
      <c r="G4" t="str">
        <f>IF("M5"=RIGHT(Table1[[#This Row],[config]],2),"GEQm5","LEQm4")</f>
        <v>LEQm4</v>
      </c>
      <c r="H4" s="4" t="str">
        <f>IF("M5"=RIGHT(Table1[[#This Row],[config]],2),LEFT(Table1[[#This Row],[config]],LEN(Table1[[#This Row],[config]])-2),Table1[[#This Row],[config]])</f>
        <v>Debug</v>
      </c>
    </row>
    <row r="5" spans="1:8" x14ac:dyDescent="0.25">
      <c r="A5" s="1" t="s">
        <v>4</v>
      </c>
      <c r="B5">
        <v>15</v>
      </c>
      <c r="C5" s="1" t="s">
        <v>5</v>
      </c>
      <c r="D5" s="1" t="s">
        <v>26</v>
      </c>
      <c r="E5" t="str">
        <f>LEFT(Table1[[#This Row],[target]],FIND("|",Table1[[#This Row],[target]])-1)</f>
        <v>Debug</v>
      </c>
      <c r="F5" t="str">
        <f>RIGHT(Table1[[#This Row],[target]],LEN(Table1[[#This Row],[target]])-FIND("|",Table1[[#This Row],[target]]))</f>
        <v>Win32</v>
      </c>
      <c r="G5" t="str">
        <f>IF("M5"=RIGHT(Table1[[#This Row],[config]],2),"GEQm5","LEQm4")</f>
        <v>LEQm4</v>
      </c>
      <c r="H5" s="4" t="str">
        <f>IF("M5"=RIGHT(Table1[[#This Row],[config]],2),LEFT(Table1[[#This Row],[config]],LEN(Table1[[#This Row],[config]])-2),Table1[[#This Row],[config]])</f>
        <v>Debug</v>
      </c>
    </row>
    <row r="6" spans="1:8" x14ac:dyDescent="0.25">
      <c r="A6" s="1" t="s">
        <v>4</v>
      </c>
      <c r="B6">
        <v>15</v>
      </c>
      <c r="C6" s="1" t="s">
        <v>5</v>
      </c>
      <c r="D6" s="1" t="s">
        <v>74</v>
      </c>
      <c r="E6" t="str">
        <f>LEFT(Table1[[#This Row],[target]],FIND("|",Table1[[#This Row],[target]])-1)</f>
        <v>Debug</v>
      </c>
      <c r="F6" t="str">
        <f>RIGHT(Table1[[#This Row],[target]],LEN(Table1[[#This Row],[target]])-FIND("|",Table1[[#This Row],[target]]))</f>
        <v>Win32</v>
      </c>
      <c r="G6" t="str">
        <f>IF("M5"=RIGHT(Table1[[#This Row],[config]],2),"GEQm5","LEQm4")</f>
        <v>LEQm4</v>
      </c>
      <c r="H6" s="4" t="str">
        <f>IF("M5"=RIGHT(Table1[[#This Row],[config]],2),LEFT(Table1[[#This Row],[config]],LEN(Table1[[#This Row],[config]])-2),Table1[[#This Row],[config]])</f>
        <v>Debug</v>
      </c>
    </row>
    <row r="7" spans="1:8" x14ac:dyDescent="0.25">
      <c r="A7" s="1" t="s">
        <v>4</v>
      </c>
      <c r="B7">
        <v>15</v>
      </c>
      <c r="C7" s="1" t="s">
        <v>5</v>
      </c>
      <c r="D7" s="1" t="s">
        <v>71</v>
      </c>
      <c r="E7" t="str">
        <f>LEFT(Table1[[#This Row],[target]],FIND("|",Table1[[#This Row],[target]])-1)</f>
        <v>Debug</v>
      </c>
      <c r="F7" t="str">
        <f>RIGHT(Table1[[#This Row],[target]],LEN(Table1[[#This Row],[target]])-FIND("|",Table1[[#This Row],[target]]))</f>
        <v>Win32</v>
      </c>
      <c r="G7" t="str">
        <f>IF("M5"=RIGHT(Table1[[#This Row],[config]],2),"GEQm5","LEQm4")</f>
        <v>LEQm4</v>
      </c>
      <c r="H7" s="4" t="str">
        <f>IF("M5"=RIGHT(Table1[[#This Row],[config]],2),LEFT(Table1[[#This Row],[config]],LEN(Table1[[#This Row],[config]])-2),Table1[[#This Row],[config]])</f>
        <v>Debug</v>
      </c>
    </row>
    <row r="8" spans="1:8" x14ac:dyDescent="0.25">
      <c r="A8" s="1" t="s">
        <v>4</v>
      </c>
      <c r="B8">
        <v>15</v>
      </c>
      <c r="C8" s="1" t="s">
        <v>5</v>
      </c>
      <c r="D8" s="1" t="s">
        <v>27</v>
      </c>
      <c r="E8" t="str">
        <f>LEFT(Table1[[#This Row],[target]],FIND("|",Table1[[#This Row],[target]])-1)</f>
        <v>Debug</v>
      </c>
      <c r="F8" t="str">
        <f>RIGHT(Table1[[#This Row],[target]],LEN(Table1[[#This Row],[target]])-FIND("|",Table1[[#This Row],[target]]))</f>
        <v>Win32</v>
      </c>
      <c r="G8" t="str">
        <f>IF("M5"=RIGHT(Table1[[#This Row],[config]],2),"GEQm5","LEQm4")</f>
        <v>LEQm4</v>
      </c>
      <c r="H8" s="4" t="str">
        <f>IF("M5"=RIGHT(Table1[[#This Row],[config]],2),LEFT(Table1[[#This Row],[config]],LEN(Table1[[#This Row],[config]])-2),Table1[[#This Row],[config]])</f>
        <v>Debug</v>
      </c>
    </row>
    <row r="9" spans="1:8" x14ac:dyDescent="0.25">
      <c r="A9" s="1" t="s">
        <v>4</v>
      </c>
      <c r="B9">
        <v>15</v>
      </c>
      <c r="C9" s="1" t="s">
        <v>5</v>
      </c>
      <c r="D9" s="1" t="s">
        <v>75</v>
      </c>
      <c r="E9" t="str">
        <f>LEFT(Table1[[#This Row],[target]],FIND("|",Table1[[#This Row],[target]])-1)</f>
        <v>Debug</v>
      </c>
      <c r="F9" t="str">
        <f>RIGHT(Table1[[#This Row],[target]],LEN(Table1[[#This Row],[target]])-FIND("|",Table1[[#This Row],[target]]))</f>
        <v>Win32</v>
      </c>
      <c r="G9" t="str">
        <f>IF("M5"=RIGHT(Table1[[#This Row],[config]],2),"GEQm5","LEQm4")</f>
        <v>LEQm4</v>
      </c>
      <c r="H9" s="4" t="str">
        <f>IF("M5"=RIGHT(Table1[[#This Row],[config]],2),LEFT(Table1[[#This Row],[config]],LEN(Table1[[#This Row],[config]])-2),Table1[[#This Row],[config]])</f>
        <v>Debug</v>
      </c>
    </row>
    <row r="10" spans="1:8" x14ac:dyDescent="0.25">
      <c r="A10" s="1" t="s">
        <v>4</v>
      </c>
      <c r="B10">
        <v>15</v>
      </c>
      <c r="C10" s="1" t="s">
        <v>5</v>
      </c>
      <c r="D10" s="1" t="s">
        <v>78</v>
      </c>
      <c r="E10" t="str">
        <f>LEFT(Table1[[#This Row],[target]],FIND("|",Table1[[#This Row],[target]])-1)</f>
        <v>Debug</v>
      </c>
      <c r="F10" t="str">
        <f>RIGHT(Table1[[#This Row],[target]],LEN(Table1[[#This Row],[target]])-FIND("|",Table1[[#This Row],[target]]))</f>
        <v>Win32</v>
      </c>
      <c r="G10" t="str">
        <f>IF("M5"=RIGHT(Table1[[#This Row],[config]],2),"GEQm5","LEQm4")</f>
        <v>LEQm4</v>
      </c>
      <c r="H10" s="4" t="str">
        <f>IF("M5"=RIGHT(Table1[[#This Row],[config]],2),LEFT(Table1[[#This Row],[config]],LEN(Table1[[#This Row],[config]])-2),Table1[[#This Row],[config]])</f>
        <v>Debug</v>
      </c>
    </row>
    <row r="11" spans="1:8" x14ac:dyDescent="0.25">
      <c r="A11" s="1" t="s">
        <v>4</v>
      </c>
      <c r="B11">
        <v>15</v>
      </c>
      <c r="C11" s="1" t="s">
        <v>5</v>
      </c>
      <c r="D11" s="1" t="s">
        <v>76</v>
      </c>
      <c r="E11" t="str">
        <f>LEFT(Table1[[#This Row],[target]],FIND("|",Table1[[#This Row],[target]])-1)</f>
        <v>Debug</v>
      </c>
      <c r="F11" t="str">
        <f>RIGHT(Table1[[#This Row],[target]],LEN(Table1[[#This Row],[target]])-FIND("|",Table1[[#This Row],[target]]))</f>
        <v>Win32</v>
      </c>
      <c r="G11" t="str">
        <f>IF("M5"=RIGHT(Table1[[#This Row],[config]],2),"GEQm5","LEQm4")</f>
        <v>LEQm4</v>
      </c>
      <c r="H11" s="4" t="str">
        <f>IF("M5"=RIGHT(Table1[[#This Row],[config]],2),LEFT(Table1[[#This Row],[config]],LEN(Table1[[#This Row],[config]])-2),Table1[[#This Row],[config]])</f>
        <v>Debug</v>
      </c>
    </row>
    <row r="12" spans="1:8" x14ac:dyDescent="0.25">
      <c r="A12" s="1" t="s">
        <v>4</v>
      </c>
      <c r="B12">
        <v>15</v>
      </c>
      <c r="C12" s="1" t="s">
        <v>11</v>
      </c>
      <c r="D12" s="1" t="s">
        <v>82</v>
      </c>
      <c r="E12" t="str">
        <f>LEFT(Table1[[#This Row],[target]],FIND("|",Table1[[#This Row],[target]])-1)</f>
        <v>Debug</v>
      </c>
      <c r="F12" t="str">
        <f>RIGHT(Table1[[#This Row],[target]],LEN(Table1[[#This Row],[target]])-FIND("|",Table1[[#This Row],[target]]))</f>
        <v>x64</v>
      </c>
      <c r="G12" t="str">
        <f>IF("M5"=RIGHT(Table1[[#This Row],[config]],2),"GEQm5","LEQm4")</f>
        <v>LEQm4</v>
      </c>
      <c r="H12" s="4" t="str">
        <f>IF("M5"=RIGHT(Table1[[#This Row],[config]],2),LEFT(Table1[[#This Row],[config]],LEN(Table1[[#This Row],[config]])-2),Table1[[#This Row],[config]])</f>
        <v>Debug</v>
      </c>
    </row>
    <row r="13" spans="1:8" x14ac:dyDescent="0.25">
      <c r="A13" s="1" t="s">
        <v>4</v>
      </c>
      <c r="B13">
        <v>15</v>
      </c>
      <c r="C13" s="1" t="s">
        <v>11</v>
      </c>
      <c r="D13" s="1" t="s">
        <v>72</v>
      </c>
      <c r="E13" t="str">
        <f>LEFT(Table1[[#This Row],[target]],FIND("|",Table1[[#This Row],[target]])-1)</f>
        <v>Debug</v>
      </c>
      <c r="F13" t="str">
        <f>RIGHT(Table1[[#This Row],[target]],LEN(Table1[[#This Row],[target]])-FIND("|",Table1[[#This Row],[target]]))</f>
        <v>x64</v>
      </c>
      <c r="G13" t="str">
        <f>IF("M5"=RIGHT(Table1[[#This Row],[config]],2),"GEQm5","LEQm4")</f>
        <v>LEQm4</v>
      </c>
      <c r="H13" s="4" t="str">
        <f>IF("M5"=RIGHT(Table1[[#This Row],[config]],2),LEFT(Table1[[#This Row],[config]],LEN(Table1[[#This Row],[config]])-2),Table1[[#This Row],[config]])</f>
        <v>Debug</v>
      </c>
    </row>
    <row r="14" spans="1:8" x14ac:dyDescent="0.25">
      <c r="A14" s="1" t="s">
        <v>4</v>
      </c>
      <c r="B14">
        <v>15</v>
      </c>
      <c r="C14" s="1" t="s">
        <v>11</v>
      </c>
      <c r="D14" s="1" t="s">
        <v>25</v>
      </c>
      <c r="E14" t="str">
        <f>LEFT(Table1[[#This Row],[target]],FIND("|",Table1[[#This Row],[target]])-1)</f>
        <v>Debug</v>
      </c>
      <c r="F14" t="str">
        <f>RIGHT(Table1[[#This Row],[target]],LEN(Table1[[#This Row],[target]])-FIND("|",Table1[[#This Row],[target]]))</f>
        <v>x64</v>
      </c>
      <c r="G14" t="str">
        <f>IF("M5"=RIGHT(Table1[[#This Row],[config]],2),"GEQm5","LEQm4")</f>
        <v>LEQm4</v>
      </c>
      <c r="H14" s="4" t="str">
        <f>IF("M5"=RIGHT(Table1[[#This Row],[config]],2),LEFT(Table1[[#This Row],[config]],LEN(Table1[[#This Row],[config]])-2),Table1[[#This Row],[config]])</f>
        <v>Debug</v>
      </c>
    </row>
    <row r="15" spans="1:8" x14ac:dyDescent="0.25">
      <c r="A15" s="1" t="s">
        <v>4</v>
      </c>
      <c r="B15">
        <v>15</v>
      </c>
      <c r="C15" s="1" t="s">
        <v>11</v>
      </c>
      <c r="D15" s="1" t="s">
        <v>26</v>
      </c>
      <c r="E15" t="str">
        <f>LEFT(Table1[[#This Row],[target]],FIND("|",Table1[[#This Row],[target]])-1)</f>
        <v>Debug</v>
      </c>
      <c r="F15" t="str">
        <f>RIGHT(Table1[[#This Row],[target]],LEN(Table1[[#This Row],[target]])-FIND("|",Table1[[#This Row],[target]]))</f>
        <v>x64</v>
      </c>
      <c r="G15" t="str">
        <f>IF("M5"=RIGHT(Table1[[#This Row],[config]],2),"GEQm5","LEQm4")</f>
        <v>LEQm4</v>
      </c>
      <c r="H15" s="4" t="str">
        <f>IF("M5"=RIGHT(Table1[[#This Row],[config]],2),LEFT(Table1[[#This Row],[config]],LEN(Table1[[#This Row],[config]])-2),Table1[[#This Row],[config]])</f>
        <v>Debug</v>
      </c>
    </row>
    <row r="16" spans="1:8" x14ac:dyDescent="0.25">
      <c r="A16" s="1" t="s">
        <v>4</v>
      </c>
      <c r="B16">
        <v>15</v>
      </c>
      <c r="C16" s="1" t="s">
        <v>11</v>
      </c>
      <c r="D16" s="1" t="s">
        <v>73</v>
      </c>
      <c r="E16" t="str">
        <f>LEFT(Table1[[#This Row],[target]],FIND("|",Table1[[#This Row],[target]])-1)</f>
        <v>Debug</v>
      </c>
      <c r="F16" t="str">
        <f>RIGHT(Table1[[#This Row],[target]],LEN(Table1[[#This Row],[target]])-FIND("|",Table1[[#This Row],[target]]))</f>
        <v>x64</v>
      </c>
      <c r="G16" t="str">
        <f>IF("M5"=RIGHT(Table1[[#This Row],[config]],2),"GEQm5","LEQm4")</f>
        <v>LEQm4</v>
      </c>
      <c r="H16" s="4" t="str">
        <f>IF("M5"=RIGHT(Table1[[#This Row],[config]],2),LEFT(Table1[[#This Row],[config]],LEN(Table1[[#This Row],[config]])-2),Table1[[#This Row],[config]])</f>
        <v>Debug</v>
      </c>
    </row>
    <row r="17" spans="1:8" x14ac:dyDescent="0.25">
      <c r="A17" s="1" t="s">
        <v>4</v>
      </c>
      <c r="B17">
        <v>15</v>
      </c>
      <c r="C17" s="1" t="s">
        <v>11</v>
      </c>
      <c r="D17" s="1" t="s">
        <v>71</v>
      </c>
      <c r="E17" t="str">
        <f>LEFT(Table1[[#This Row],[target]],FIND("|",Table1[[#This Row],[target]])-1)</f>
        <v>Debug</v>
      </c>
      <c r="F17" t="str">
        <f>RIGHT(Table1[[#This Row],[target]],LEN(Table1[[#This Row],[target]])-FIND("|",Table1[[#This Row],[target]]))</f>
        <v>x64</v>
      </c>
      <c r="G17" t="str">
        <f>IF("M5"=RIGHT(Table1[[#This Row],[config]],2),"GEQm5","LEQm4")</f>
        <v>LEQm4</v>
      </c>
      <c r="H17" s="4" t="str">
        <f>IF("M5"=RIGHT(Table1[[#This Row],[config]],2),LEFT(Table1[[#This Row],[config]],LEN(Table1[[#This Row],[config]])-2),Table1[[#This Row],[config]])</f>
        <v>Debug</v>
      </c>
    </row>
    <row r="18" spans="1:8" x14ac:dyDescent="0.25">
      <c r="A18" s="1" t="s">
        <v>4</v>
      </c>
      <c r="B18">
        <v>15</v>
      </c>
      <c r="C18" s="1" t="s">
        <v>11</v>
      </c>
      <c r="D18" s="1" t="s">
        <v>27</v>
      </c>
      <c r="E18" t="str">
        <f>LEFT(Table1[[#This Row],[target]],FIND("|",Table1[[#This Row],[target]])-1)</f>
        <v>Debug</v>
      </c>
      <c r="F18" t="str">
        <f>RIGHT(Table1[[#This Row],[target]],LEN(Table1[[#This Row],[target]])-FIND("|",Table1[[#This Row],[target]]))</f>
        <v>x64</v>
      </c>
      <c r="G18" t="str">
        <f>IF("M5"=RIGHT(Table1[[#This Row],[config]],2),"GEQm5","LEQm4")</f>
        <v>LEQm4</v>
      </c>
      <c r="H18" s="4" t="str">
        <f>IF("M5"=RIGHT(Table1[[#This Row],[config]],2),LEFT(Table1[[#This Row],[config]],LEN(Table1[[#This Row],[config]])-2),Table1[[#This Row],[config]])</f>
        <v>Debug</v>
      </c>
    </row>
    <row r="19" spans="1:8" x14ac:dyDescent="0.25">
      <c r="A19" s="1" t="s">
        <v>4</v>
      </c>
      <c r="B19">
        <v>15</v>
      </c>
      <c r="C19" s="1" t="s">
        <v>11</v>
      </c>
      <c r="D19" s="1" t="s">
        <v>75</v>
      </c>
      <c r="E19" t="str">
        <f>LEFT(Table1[[#This Row],[target]],FIND("|",Table1[[#This Row],[target]])-1)</f>
        <v>Debug</v>
      </c>
      <c r="F19" t="str">
        <f>RIGHT(Table1[[#This Row],[target]],LEN(Table1[[#This Row],[target]])-FIND("|",Table1[[#This Row],[target]]))</f>
        <v>x64</v>
      </c>
      <c r="G19" t="str">
        <f>IF("M5"=RIGHT(Table1[[#This Row],[config]],2),"GEQm5","LEQm4")</f>
        <v>LEQm4</v>
      </c>
      <c r="H19" s="4" t="str">
        <f>IF("M5"=RIGHT(Table1[[#This Row],[config]],2),LEFT(Table1[[#This Row],[config]],LEN(Table1[[#This Row],[config]])-2),Table1[[#This Row],[config]])</f>
        <v>Debug</v>
      </c>
    </row>
    <row r="20" spans="1:8" x14ac:dyDescent="0.25">
      <c r="A20" s="1" t="s">
        <v>4</v>
      </c>
      <c r="B20">
        <v>15</v>
      </c>
      <c r="C20" s="1" t="s">
        <v>11</v>
      </c>
      <c r="D20" s="1" t="s">
        <v>78</v>
      </c>
      <c r="E20" t="str">
        <f>LEFT(Table1[[#This Row],[target]],FIND("|",Table1[[#This Row],[target]])-1)</f>
        <v>Debug</v>
      </c>
      <c r="F20" t="str">
        <f>RIGHT(Table1[[#This Row],[target]],LEN(Table1[[#This Row],[target]])-FIND("|",Table1[[#This Row],[target]]))</f>
        <v>x64</v>
      </c>
      <c r="G20" t="str">
        <f>IF("M5"=RIGHT(Table1[[#This Row],[config]],2),"GEQm5","LEQm4")</f>
        <v>LEQm4</v>
      </c>
      <c r="H20" s="4" t="str">
        <f>IF("M5"=RIGHT(Table1[[#This Row],[config]],2),LEFT(Table1[[#This Row],[config]],LEN(Table1[[#This Row],[config]])-2),Table1[[#This Row],[config]])</f>
        <v>Debug</v>
      </c>
    </row>
    <row r="21" spans="1:8" x14ac:dyDescent="0.25">
      <c r="A21" s="1" t="s">
        <v>4</v>
      </c>
      <c r="B21">
        <v>15</v>
      </c>
      <c r="C21" s="1" t="s">
        <v>11</v>
      </c>
      <c r="D21" s="1" t="s">
        <v>76</v>
      </c>
      <c r="E21" t="str">
        <f>LEFT(Table1[[#This Row],[target]],FIND("|",Table1[[#This Row],[target]])-1)</f>
        <v>Debug</v>
      </c>
      <c r="F21" t="str">
        <f>RIGHT(Table1[[#This Row],[target]],LEN(Table1[[#This Row],[target]])-FIND("|",Table1[[#This Row],[target]]))</f>
        <v>x64</v>
      </c>
      <c r="G21" t="str">
        <f>IF("M5"=RIGHT(Table1[[#This Row],[config]],2),"GEQm5","LEQm4")</f>
        <v>LEQm4</v>
      </c>
      <c r="H21" s="4" t="str">
        <f>IF("M5"=RIGHT(Table1[[#This Row],[config]],2),LEFT(Table1[[#This Row],[config]],LEN(Table1[[#This Row],[config]])-2),Table1[[#This Row],[config]])</f>
        <v>Debug</v>
      </c>
    </row>
    <row r="22" spans="1:8" x14ac:dyDescent="0.25">
      <c r="A22" s="1" t="s">
        <v>4</v>
      </c>
      <c r="B22">
        <v>15</v>
      </c>
      <c r="C22" s="1" t="s">
        <v>18</v>
      </c>
      <c r="D22" s="1" t="s">
        <v>82</v>
      </c>
      <c r="E22" t="str">
        <f>LEFT(Table1[[#This Row],[target]],FIND("|",Table1[[#This Row],[target]])-1)</f>
        <v>DebugM5</v>
      </c>
      <c r="F22" t="str">
        <f>RIGHT(Table1[[#This Row],[target]],LEN(Table1[[#This Row],[target]])-FIND("|",Table1[[#This Row],[target]]))</f>
        <v>Win32</v>
      </c>
      <c r="G22" t="str">
        <f>IF("M5"=RIGHT(Table1[[#This Row],[config]],2),"GEQm5","LEQm4")</f>
        <v>GEQm5</v>
      </c>
      <c r="H22" s="4" t="str">
        <f>IF("M5"=RIGHT(Table1[[#This Row],[config]],2),LEFT(Table1[[#This Row],[config]],LEN(Table1[[#This Row],[config]])-2),Table1[[#This Row],[config]])</f>
        <v>Debug</v>
      </c>
    </row>
    <row r="23" spans="1:8" x14ac:dyDescent="0.25">
      <c r="A23" s="1" t="s">
        <v>4</v>
      </c>
      <c r="B23">
        <v>15</v>
      </c>
      <c r="C23" s="1" t="s">
        <v>18</v>
      </c>
      <c r="D23" s="1" t="s">
        <v>72</v>
      </c>
      <c r="E23" t="str">
        <f>LEFT(Table1[[#This Row],[target]],FIND("|",Table1[[#This Row],[target]])-1)</f>
        <v>DebugM5</v>
      </c>
      <c r="F23" t="str">
        <f>RIGHT(Table1[[#This Row],[target]],LEN(Table1[[#This Row],[target]])-FIND("|",Table1[[#This Row],[target]]))</f>
        <v>Win32</v>
      </c>
      <c r="G23" t="str">
        <f>IF("M5"=RIGHT(Table1[[#This Row],[config]],2),"GEQm5","LEQm4")</f>
        <v>GEQm5</v>
      </c>
      <c r="H23" s="4" t="str">
        <f>IF("M5"=RIGHT(Table1[[#This Row],[config]],2),LEFT(Table1[[#This Row],[config]],LEN(Table1[[#This Row],[config]])-2),Table1[[#This Row],[config]])</f>
        <v>Debug</v>
      </c>
    </row>
    <row r="24" spans="1:8" x14ac:dyDescent="0.25">
      <c r="A24" s="1" t="s">
        <v>4</v>
      </c>
      <c r="B24">
        <v>15</v>
      </c>
      <c r="C24" s="1" t="s">
        <v>18</v>
      </c>
      <c r="D24" s="1" t="s">
        <v>25</v>
      </c>
      <c r="E24" t="str">
        <f>LEFT(Table1[[#This Row],[target]],FIND("|",Table1[[#This Row],[target]])-1)</f>
        <v>DebugM5</v>
      </c>
      <c r="F24" t="str">
        <f>RIGHT(Table1[[#This Row],[target]],LEN(Table1[[#This Row],[target]])-FIND("|",Table1[[#This Row],[target]]))</f>
        <v>Win32</v>
      </c>
      <c r="G24" t="str">
        <f>IF("M5"=RIGHT(Table1[[#This Row],[config]],2),"GEQm5","LEQm4")</f>
        <v>GEQm5</v>
      </c>
      <c r="H24" s="4" t="str">
        <f>IF("M5"=RIGHT(Table1[[#This Row],[config]],2),LEFT(Table1[[#This Row],[config]],LEN(Table1[[#This Row],[config]])-2),Table1[[#This Row],[config]])</f>
        <v>Debug</v>
      </c>
    </row>
    <row r="25" spans="1:8" x14ac:dyDescent="0.25">
      <c r="A25" s="1" t="s">
        <v>4</v>
      </c>
      <c r="B25">
        <v>15</v>
      </c>
      <c r="C25" s="1" t="s">
        <v>18</v>
      </c>
      <c r="D25" s="1" t="s">
        <v>77</v>
      </c>
      <c r="E25" t="str">
        <f>LEFT(Table1[[#This Row],[target]],FIND("|",Table1[[#This Row],[target]])-1)</f>
        <v>DebugM5</v>
      </c>
      <c r="F25" t="str">
        <f>RIGHT(Table1[[#This Row],[target]],LEN(Table1[[#This Row],[target]])-FIND("|",Table1[[#This Row],[target]]))</f>
        <v>Win32</v>
      </c>
      <c r="G25" t="str">
        <f>IF("M5"=RIGHT(Table1[[#This Row],[config]],2),"GEQm5","LEQm4")</f>
        <v>GEQm5</v>
      </c>
      <c r="H25" s="4" t="str">
        <f>IF("M5"=RIGHT(Table1[[#This Row],[config]],2),LEFT(Table1[[#This Row],[config]],LEN(Table1[[#This Row],[config]])-2),Table1[[#This Row],[config]])</f>
        <v>Debug</v>
      </c>
    </row>
    <row r="26" spans="1:8" x14ac:dyDescent="0.25">
      <c r="A26" s="1" t="s">
        <v>4</v>
      </c>
      <c r="B26">
        <v>15</v>
      </c>
      <c r="C26" s="1" t="s">
        <v>18</v>
      </c>
      <c r="D26" s="1" t="s">
        <v>26</v>
      </c>
      <c r="E26" t="str">
        <f>LEFT(Table1[[#This Row],[target]],FIND("|",Table1[[#This Row],[target]])-1)</f>
        <v>DebugM5</v>
      </c>
      <c r="F26" t="str">
        <f>RIGHT(Table1[[#This Row],[target]],LEN(Table1[[#This Row],[target]])-FIND("|",Table1[[#This Row],[target]]))</f>
        <v>Win32</v>
      </c>
      <c r="G26" t="str">
        <f>IF("M5"=RIGHT(Table1[[#This Row],[config]],2),"GEQm5","LEQm4")</f>
        <v>GEQm5</v>
      </c>
      <c r="H26" s="4" t="str">
        <f>IF("M5"=RIGHT(Table1[[#This Row],[config]],2),LEFT(Table1[[#This Row],[config]],LEN(Table1[[#This Row],[config]])-2),Table1[[#This Row],[config]])</f>
        <v>Debug</v>
      </c>
    </row>
    <row r="27" spans="1:8" x14ac:dyDescent="0.25">
      <c r="A27" s="1" t="s">
        <v>4</v>
      </c>
      <c r="B27">
        <v>15</v>
      </c>
      <c r="C27" s="1" t="s">
        <v>18</v>
      </c>
      <c r="D27" s="1" t="s">
        <v>74</v>
      </c>
      <c r="E27" t="str">
        <f>LEFT(Table1[[#This Row],[target]],FIND("|",Table1[[#This Row],[target]])-1)</f>
        <v>DebugM5</v>
      </c>
      <c r="F27" t="str">
        <f>RIGHT(Table1[[#This Row],[target]],LEN(Table1[[#This Row],[target]])-FIND("|",Table1[[#This Row],[target]]))</f>
        <v>Win32</v>
      </c>
      <c r="G27" t="str">
        <f>IF("M5"=RIGHT(Table1[[#This Row],[config]],2),"GEQm5","LEQm4")</f>
        <v>GEQm5</v>
      </c>
      <c r="H27" s="4" t="str">
        <f>IF("M5"=RIGHT(Table1[[#This Row],[config]],2),LEFT(Table1[[#This Row],[config]],LEN(Table1[[#This Row],[config]])-2),Table1[[#This Row],[config]])</f>
        <v>Debug</v>
      </c>
    </row>
    <row r="28" spans="1:8" x14ac:dyDescent="0.25">
      <c r="A28" s="1" t="s">
        <v>4</v>
      </c>
      <c r="B28">
        <v>15</v>
      </c>
      <c r="C28" s="1" t="s">
        <v>18</v>
      </c>
      <c r="D28" s="1" t="s">
        <v>70</v>
      </c>
      <c r="E28" t="str">
        <f>LEFT(Table1[[#This Row],[target]],FIND("|",Table1[[#This Row],[target]])-1)</f>
        <v>DebugM5</v>
      </c>
      <c r="F28" t="str">
        <f>RIGHT(Table1[[#This Row],[target]],LEN(Table1[[#This Row],[target]])-FIND("|",Table1[[#This Row],[target]]))</f>
        <v>Win32</v>
      </c>
      <c r="G28" t="str">
        <f>IF("M5"=RIGHT(Table1[[#This Row],[config]],2),"GEQm5","LEQm4")</f>
        <v>GEQm5</v>
      </c>
      <c r="H28" s="4" t="str">
        <f>IF("M5"=RIGHT(Table1[[#This Row],[config]],2),LEFT(Table1[[#This Row],[config]],LEN(Table1[[#This Row],[config]])-2),Table1[[#This Row],[config]])</f>
        <v>Debug</v>
      </c>
    </row>
    <row r="29" spans="1:8" x14ac:dyDescent="0.25">
      <c r="A29" s="1" t="s">
        <v>4</v>
      </c>
      <c r="B29">
        <v>15</v>
      </c>
      <c r="C29" s="1" t="s">
        <v>18</v>
      </c>
      <c r="D29" s="1" t="s">
        <v>28</v>
      </c>
      <c r="E29" t="str">
        <f>LEFT(Table1[[#This Row],[target]],FIND("|",Table1[[#This Row],[target]])-1)</f>
        <v>DebugM5</v>
      </c>
      <c r="F29" t="str">
        <f>RIGHT(Table1[[#This Row],[target]],LEN(Table1[[#This Row],[target]])-FIND("|",Table1[[#This Row],[target]]))</f>
        <v>Win32</v>
      </c>
      <c r="G29" t="str">
        <f>IF("M5"=RIGHT(Table1[[#This Row],[config]],2),"GEQm5","LEQm4")</f>
        <v>GEQm5</v>
      </c>
      <c r="H29" s="4" t="str">
        <f>IF("M5"=RIGHT(Table1[[#This Row],[config]],2),LEFT(Table1[[#This Row],[config]],LEN(Table1[[#This Row],[config]])-2),Table1[[#This Row],[config]])</f>
        <v>Debug</v>
      </c>
    </row>
    <row r="30" spans="1:8" x14ac:dyDescent="0.25">
      <c r="A30" s="1" t="s">
        <v>4</v>
      </c>
      <c r="B30">
        <v>15</v>
      </c>
      <c r="C30" s="1" t="s">
        <v>18</v>
      </c>
      <c r="D30" s="1" t="s">
        <v>75</v>
      </c>
      <c r="E30" t="str">
        <f>LEFT(Table1[[#This Row],[target]],FIND("|",Table1[[#This Row],[target]])-1)</f>
        <v>DebugM5</v>
      </c>
      <c r="F30" t="str">
        <f>RIGHT(Table1[[#This Row],[target]],LEN(Table1[[#This Row],[target]])-FIND("|",Table1[[#This Row],[target]]))</f>
        <v>Win32</v>
      </c>
      <c r="G30" t="str">
        <f>IF("M5"=RIGHT(Table1[[#This Row],[config]],2),"GEQm5","LEQm4")</f>
        <v>GEQm5</v>
      </c>
      <c r="H30" s="4" t="str">
        <f>IF("M5"=RIGHT(Table1[[#This Row],[config]],2),LEFT(Table1[[#This Row],[config]],LEN(Table1[[#This Row],[config]])-2),Table1[[#This Row],[config]])</f>
        <v>Debug</v>
      </c>
    </row>
    <row r="31" spans="1:8" x14ac:dyDescent="0.25">
      <c r="A31" s="1" t="s">
        <v>4</v>
      </c>
      <c r="B31">
        <v>15</v>
      </c>
      <c r="C31" s="1" t="s">
        <v>18</v>
      </c>
      <c r="D31" s="1" t="s">
        <v>78</v>
      </c>
      <c r="E31" t="str">
        <f>LEFT(Table1[[#This Row],[target]],FIND("|",Table1[[#This Row],[target]])-1)</f>
        <v>DebugM5</v>
      </c>
      <c r="F31" t="str">
        <f>RIGHT(Table1[[#This Row],[target]],LEN(Table1[[#This Row],[target]])-FIND("|",Table1[[#This Row],[target]]))</f>
        <v>Win32</v>
      </c>
      <c r="G31" t="str">
        <f>IF("M5"=RIGHT(Table1[[#This Row],[config]],2),"GEQm5","LEQm4")</f>
        <v>GEQm5</v>
      </c>
      <c r="H31" s="4" t="str">
        <f>IF("M5"=RIGHT(Table1[[#This Row],[config]],2),LEFT(Table1[[#This Row],[config]],LEN(Table1[[#This Row],[config]])-2),Table1[[#This Row],[config]])</f>
        <v>Debug</v>
      </c>
    </row>
    <row r="32" spans="1:8" x14ac:dyDescent="0.25">
      <c r="A32" s="1" t="s">
        <v>4</v>
      </c>
      <c r="B32">
        <v>15</v>
      </c>
      <c r="C32" s="1" t="s">
        <v>18</v>
      </c>
      <c r="D32" s="1" t="s">
        <v>76</v>
      </c>
      <c r="E32" t="str">
        <f>LEFT(Table1[[#This Row],[target]],FIND("|",Table1[[#This Row],[target]])-1)</f>
        <v>DebugM5</v>
      </c>
      <c r="F32" t="str">
        <f>RIGHT(Table1[[#This Row],[target]],LEN(Table1[[#This Row],[target]])-FIND("|",Table1[[#This Row],[target]]))</f>
        <v>Win32</v>
      </c>
      <c r="G32" t="str">
        <f>IF("M5"=RIGHT(Table1[[#This Row],[config]],2),"GEQm5","LEQm4")</f>
        <v>GEQm5</v>
      </c>
      <c r="H32" s="4" t="str">
        <f>IF("M5"=RIGHT(Table1[[#This Row],[config]],2),LEFT(Table1[[#This Row],[config]],LEN(Table1[[#This Row],[config]])-2),Table1[[#This Row],[config]])</f>
        <v>Debug</v>
      </c>
    </row>
    <row r="33" spans="1:8" x14ac:dyDescent="0.25">
      <c r="A33" s="1" t="s">
        <v>4</v>
      </c>
      <c r="B33">
        <v>15</v>
      </c>
      <c r="C33" s="1" t="s">
        <v>17</v>
      </c>
      <c r="D33" s="1" t="s">
        <v>82</v>
      </c>
      <c r="E33" t="str">
        <f>LEFT(Table1[[#This Row],[target]],FIND("|",Table1[[#This Row],[target]])-1)</f>
        <v>DebugM5</v>
      </c>
      <c r="F33" t="str">
        <f>RIGHT(Table1[[#This Row],[target]],LEN(Table1[[#This Row],[target]])-FIND("|",Table1[[#This Row],[target]]))</f>
        <v>x64</v>
      </c>
      <c r="G33" t="str">
        <f>IF("M5"=RIGHT(Table1[[#This Row],[config]],2),"GEQm5","LEQm4")</f>
        <v>GEQm5</v>
      </c>
      <c r="H33" s="4" t="str">
        <f>IF("M5"=RIGHT(Table1[[#This Row],[config]],2),LEFT(Table1[[#This Row],[config]],LEN(Table1[[#This Row],[config]])-2),Table1[[#This Row],[config]])</f>
        <v>Debug</v>
      </c>
    </row>
    <row r="34" spans="1:8" x14ac:dyDescent="0.25">
      <c r="A34" s="1" t="s">
        <v>4</v>
      </c>
      <c r="B34">
        <v>15</v>
      </c>
      <c r="C34" s="1" t="s">
        <v>17</v>
      </c>
      <c r="D34" s="1" t="s">
        <v>72</v>
      </c>
      <c r="E34" t="str">
        <f>LEFT(Table1[[#This Row],[target]],FIND("|",Table1[[#This Row],[target]])-1)</f>
        <v>DebugM5</v>
      </c>
      <c r="F34" t="str">
        <f>RIGHT(Table1[[#This Row],[target]],LEN(Table1[[#This Row],[target]])-FIND("|",Table1[[#This Row],[target]]))</f>
        <v>x64</v>
      </c>
      <c r="G34" t="str">
        <f>IF("M5"=RIGHT(Table1[[#This Row],[config]],2),"GEQm5","LEQm4")</f>
        <v>GEQm5</v>
      </c>
      <c r="H34" s="4" t="str">
        <f>IF("M5"=RIGHT(Table1[[#This Row],[config]],2),LEFT(Table1[[#This Row],[config]],LEN(Table1[[#This Row],[config]])-2),Table1[[#This Row],[config]])</f>
        <v>Debug</v>
      </c>
    </row>
    <row r="35" spans="1:8" x14ac:dyDescent="0.25">
      <c r="A35" s="1" t="s">
        <v>4</v>
      </c>
      <c r="B35">
        <v>15</v>
      </c>
      <c r="C35" s="1" t="s">
        <v>17</v>
      </c>
      <c r="D35" s="1" t="s">
        <v>25</v>
      </c>
      <c r="E35" t="str">
        <f>LEFT(Table1[[#This Row],[target]],FIND("|",Table1[[#This Row],[target]])-1)</f>
        <v>DebugM5</v>
      </c>
      <c r="F35" t="str">
        <f>RIGHT(Table1[[#This Row],[target]],LEN(Table1[[#This Row],[target]])-FIND("|",Table1[[#This Row],[target]]))</f>
        <v>x64</v>
      </c>
      <c r="G35" t="str">
        <f>IF("M5"=RIGHT(Table1[[#This Row],[config]],2),"GEQm5","LEQm4")</f>
        <v>GEQm5</v>
      </c>
      <c r="H35" s="4" t="str">
        <f>IF("M5"=RIGHT(Table1[[#This Row],[config]],2),LEFT(Table1[[#This Row],[config]],LEN(Table1[[#This Row],[config]])-2),Table1[[#This Row],[config]])</f>
        <v>Debug</v>
      </c>
    </row>
    <row r="36" spans="1:8" x14ac:dyDescent="0.25">
      <c r="A36" s="1" t="s">
        <v>4</v>
      </c>
      <c r="B36">
        <v>15</v>
      </c>
      <c r="C36" s="1" t="s">
        <v>17</v>
      </c>
      <c r="D36" s="1" t="s">
        <v>77</v>
      </c>
      <c r="E36" t="str">
        <f>LEFT(Table1[[#This Row],[target]],FIND("|",Table1[[#This Row],[target]])-1)</f>
        <v>DebugM5</v>
      </c>
      <c r="F36" t="str">
        <f>RIGHT(Table1[[#This Row],[target]],LEN(Table1[[#This Row],[target]])-FIND("|",Table1[[#This Row],[target]]))</f>
        <v>x64</v>
      </c>
      <c r="G36" t="str">
        <f>IF("M5"=RIGHT(Table1[[#This Row],[config]],2),"GEQm5","LEQm4")</f>
        <v>GEQm5</v>
      </c>
      <c r="H36" s="4" t="str">
        <f>IF("M5"=RIGHT(Table1[[#This Row],[config]],2),LEFT(Table1[[#This Row],[config]],LEN(Table1[[#This Row],[config]])-2),Table1[[#This Row],[config]])</f>
        <v>Debug</v>
      </c>
    </row>
    <row r="37" spans="1:8" x14ac:dyDescent="0.25">
      <c r="A37" s="1" t="s">
        <v>4</v>
      </c>
      <c r="B37">
        <v>15</v>
      </c>
      <c r="C37" s="1" t="s">
        <v>17</v>
      </c>
      <c r="D37" s="1" t="s">
        <v>26</v>
      </c>
      <c r="E37" t="str">
        <f>LEFT(Table1[[#This Row],[target]],FIND("|",Table1[[#This Row],[target]])-1)</f>
        <v>DebugM5</v>
      </c>
      <c r="F37" t="str">
        <f>RIGHT(Table1[[#This Row],[target]],LEN(Table1[[#This Row],[target]])-FIND("|",Table1[[#This Row],[target]]))</f>
        <v>x64</v>
      </c>
      <c r="G37" t="str">
        <f>IF("M5"=RIGHT(Table1[[#This Row],[config]],2),"GEQm5","LEQm4")</f>
        <v>GEQm5</v>
      </c>
      <c r="H37" s="4" t="str">
        <f>IF("M5"=RIGHT(Table1[[#This Row],[config]],2),LEFT(Table1[[#This Row],[config]],LEN(Table1[[#This Row],[config]])-2),Table1[[#This Row],[config]])</f>
        <v>Debug</v>
      </c>
    </row>
    <row r="38" spans="1:8" x14ac:dyDescent="0.25">
      <c r="A38" s="1" t="s">
        <v>4</v>
      </c>
      <c r="B38">
        <v>15</v>
      </c>
      <c r="C38" s="1" t="s">
        <v>17</v>
      </c>
      <c r="D38" s="1" t="s">
        <v>73</v>
      </c>
      <c r="E38" t="str">
        <f>LEFT(Table1[[#This Row],[target]],FIND("|",Table1[[#This Row],[target]])-1)</f>
        <v>DebugM5</v>
      </c>
      <c r="F38" t="str">
        <f>RIGHT(Table1[[#This Row],[target]],LEN(Table1[[#This Row],[target]])-FIND("|",Table1[[#This Row],[target]]))</f>
        <v>x64</v>
      </c>
      <c r="G38" t="str">
        <f>IF("M5"=RIGHT(Table1[[#This Row],[config]],2),"GEQm5","LEQm4")</f>
        <v>GEQm5</v>
      </c>
      <c r="H38" s="4" t="str">
        <f>IF("M5"=RIGHT(Table1[[#This Row],[config]],2),LEFT(Table1[[#This Row],[config]],LEN(Table1[[#This Row],[config]])-2),Table1[[#This Row],[config]])</f>
        <v>Debug</v>
      </c>
    </row>
    <row r="39" spans="1:8" x14ac:dyDescent="0.25">
      <c r="A39" s="1" t="s">
        <v>4</v>
      </c>
      <c r="B39">
        <v>15</v>
      </c>
      <c r="C39" s="1" t="s">
        <v>17</v>
      </c>
      <c r="D39" s="1" t="s">
        <v>70</v>
      </c>
      <c r="E39" t="str">
        <f>LEFT(Table1[[#This Row],[target]],FIND("|",Table1[[#This Row],[target]])-1)</f>
        <v>DebugM5</v>
      </c>
      <c r="F39" t="str">
        <f>RIGHT(Table1[[#This Row],[target]],LEN(Table1[[#This Row],[target]])-FIND("|",Table1[[#This Row],[target]]))</f>
        <v>x64</v>
      </c>
      <c r="G39" t="str">
        <f>IF("M5"=RIGHT(Table1[[#This Row],[config]],2),"GEQm5","LEQm4")</f>
        <v>GEQm5</v>
      </c>
      <c r="H39" s="4" t="str">
        <f>IF("M5"=RIGHT(Table1[[#This Row],[config]],2),LEFT(Table1[[#This Row],[config]],LEN(Table1[[#This Row],[config]])-2),Table1[[#This Row],[config]])</f>
        <v>Debug</v>
      </c>
    </row>
    <row r="40" spans="1:8" x14ac:dyDescent="0.25">
      <c r="A40" s="1" t="s">
        <v>4</v>
      </c>
      <c r="B40">
        <v>15</v>
      </c>
      <c r="C40" s="1" t="s">
        <v>17</v>
      </c>
      <c r="D40" s="1" t="s">
        <v>28</v>
      </c>
      <c r="E40" t="str">
        <f>LEFT(Table1[[#This Row],[target]],FIND("|",Table1[[#This Row],[target]])-1)</f>
        <v>DebugM5</v>
      </c>
      <c r="F40" t="str">
        <f>RIGHT(Table1[[#This Row],[target]],LEN(Table1[[#This Row],[target]])-FIND("|",Table1[[#This Row],[target]]))</f>
        <v>x64</v>
      </c>
      <c r="G40" t="str">
        <f>IF("M5"=RIGHT(Table1[[#This Row],[config]],2),"GEQm5","LEQm4")</f>
        <v>GEQm5</v>
      </c>
      <c r="H40" s="4" t="str">
        <f>IF("M5"=RIGHT(Table1[[#This Row],[config]],2),LEFT(Table1[[#This Row],[config]],LEN(Table1[[#This Row],[config]])-2),Table1[[#This Row],[config]])</f>
        <v>Debug</v>
      </c>
    </row>
    <row r="41" spans="1:8" x14ac:dyDescent="0.25">
      <c r="A41" s="1" t="s">
        <v>4</v>
      </c>
      <c r="B41">
        <v>15</v>
      </c>
      <c r="C41" s="1" t="s">
        <v>17</v>
      </c>
      <c r="D41" s="1" t="s">
        <v>75</v>
      </c>
      <c r="E41" t="str">
        <f>LEFT(Table1[[#This Row],[target]],FIND("|",Table1[[#This Row],[target]])-1)</f>
        <v>DebugM5</v>
      </c>
      <c r="F41" t="str">
        <f>RIGHT(Table1[[#This Row],[target]],LEN(Table1[[#This Row],[target]])-FIND("|",Table1[[#This Row],[target]]))</f>
        <v>x64</v>
      </c>
      <c r="G41" t="str">
        <f>IF("M5"=RIGHT(Table1[[#This Row],[config]],2),"GEQm5","LEQm4")</f>
        <v>GEQm5</v>
      </c>
      <c r="H41" s="4" t="str">
        <f>IF("M5"=RIGHT(Table1[[#This Row],[config]],2),LEFT(Table1[[#This Row],[config]],LEN(Table1[[#This Row],[config]])-2),Table1[[#This Row],[config]])</f>
        <v>Debug</v>
      </c>
    </row>
    <row r="42" spans="1:8" x14ac:dyDescent="0.25">
      <c r="A42" s="1" t="s">
        <v>4</v>
      </c>
      <c r="B42">
        <v>15</v>
      </c>
      <c r="C42" s="1" t="s">
        <v>17</v>
      </c>
      <c r="D42" s="1" t="s">
        <v>78</v>
      </c>
      <c r="E42" t="str">
        <f>LEFT(Table1[[#This Row],[target]],FIND("|",Table1[[#This Row],[target]])-1)</f>
        <v>DebugM5</v>
      </c>
      <c r="F42" t="str">
        <f>RIGHT(Table1[[#This Row],[target]],LEN(Table1[[#This Row],[target]])-FIND("|",Table1[[#This Row],[target]]))</f>
        <v>x64</v>
      </c>
      <c r="G42" t="str">
        <f>IF("M5"=RIGHT(Table1[[#This Row],[config]],2),"GEQm5","LEQm4")</f>
        <v>GEQm5</v>
      </c>
      <c r="H42" s="4" t="str">
        <f>IF("M5"=RIGHT(Table1[[#This Row],[config]],2),LEFT(Table1[[#This Row],[config]],LEN(Table1[[#This Row],[config]])-2),Table1[[#This Row],[config]])</f>
        <v>Debug</v>
      </c>
    </row>
    <row r="43" spans="1:8" x14ac:dyDescent="0.25">
      <c r="A43" s="1" t="s">
        <v>4</v>
      </c>
      <c r="B43">
        <v>15</v>
      </c>
      <c r="C43" s="1" t="s">
        <v>17</v>
      </c>
      <c r="D43" s="1" t="s">
        <v>76</v>
      </c>
      <c r="E43" t="str">
        <f>LEFT(Table1[[#This Row],[target]],FIND("|",Table1[[#This Row],[target]])-1)</f>
        <v>DebugM5</v>
      </c>
      <c r="F43" t="str">
        <f>RIGHT(Table1[[#This Row],[target]],LEN(Table1[[#This Row],[target]])-FIND("|",Table1[[#This Row],[target]]))</f>
        <v>x64</v>
      </c>
      <c r="G43" t="str">
        <f>IF("M5"=RIGHT(Table1[[#This Row],[config]],2),"GEQm5","LEQm4")</f>
        <v>GEQm5</v>
      </c>
      <c r="H43" s="4" t="str">
        <f>IF("M5"=RIGHT(Table1[[#This Row],[config]],2),LEFT(Table1[[#This Row],[config]],LEN(Table1[[#This Row],[config]])-2),Table1[[#This Row],[config]])</f>
        <v>Debug</v>
      </c>
    </row>
    <row r="44" spans="1:8" x14ac:dyDescent="0.25">
      <c r="A44" s="1" t="s">
        <v>4</v>
      </c>
      <c r="B44">
        <v>15</v>
      </c>
      <c r="C44" s="1" t="s">
        <v>23</v>
      </c>
      <c r="D44" s="1" t="s">
        <v>82</v>
      </c>
      <c r="E44" t="str">
        <f>LEFT(Table1[[#This Row],[target]],FIND("|",Table1[[#This Row],[target]])-1)</f>
        <v>EXTE</v>
      </c>
      <c r="F44" t="str">
        <f>RIGHT(Table1[[#This Row],[target]],LEN(Table1[[#This Row],[target]])-FIND("|",Table1[[#This Row],[target]]))</f>
        <v>Win32</v>
      </c>
      <c r="G44" t="str">
        <f>IF("M5"=RIGHT(Table1[[#This Row],[config]],2),"GEQm5","LEQm4")</f>
        <v>LEQm4</v>
      </c>
      <c r="H44" s="4" t="str">
        <f>IF("M5"=RIGHT(Table1[[#This Row],[config]],2),LEFT(Table1[[#This Row],[config]],LEN(Table1[[#This Row],[config]])-2),Table1[[#This Row],[config]])</f>
        <v>EXTE</v>
      </c>
    </row>
    <row r="45" spans="1:8" x14ac:dyDescent="0.25">
      <c r="A45" s="1" t="s">
        <v>4</v>
      </c>
      <c r="B45">
        <v>15</v>
      </c>
      <c r="C45" s="1" t="s">
        <v>23</v>
      </c>
      <c r="D45" s="1" t="s">
        <v>72</v>
      </c>
      <c r="E45" t="str">
        <f>LEFT(Table1[[#This Row],[target]],FIND("|",Table1[[#This Row],[target]])-1)</f>
        <v>EXTE</v>
      </c>
      <c r="F45" t="str">
        <f>RIGHT(Table1[[#This Row],[target]],LEN(Table1[[#This Row],[target]])-FIND("|",Table1[[#This Row],[target]]))</f>
        <v>Win32</v>
      </c>
      <c r="G45" t="str">
        <f>IF("M5"=RIGHT(Table1[[#This Row],[config]],2),"GEQm5","LEQm4")</f>
        <v>LEQm4</v>
      </c>
      <c r="H45" s="4" t="str">
        <f>IF("M5"=RIGHT(Table1[[#This Row],[config]],2),LEFT(Table1[[#This Row],[config]],LEN(Table1[[#This Row],[config]])-2),Table1[[#This Row],[config]])</f>
        <v>EXTE</v>
      </c>
    </row>
    <row r="46" spans="1:8" x14ac:dyDescent="0.25">
      <c r="A46" s="1" t="s">
        <v>4</v>
      </c>
      <c r="B46">
        <v>15</v>
      </c>
      <c r="C46" s="1" t="s">
        <v>23</v>
      </c>
      <c r="D46" s="1" t="s">
        <v>25</v>
      </c>
      <c r="E46" t="str">
        <f>LEFT(Table1[[#This Row],[target]],FIND("|",Table1[[#This Row],[target]])-1)</f>
        <v>EXTE</v>
      </c>
      <c r="F46" t="str">
        <f>RIGHT(Table1[[#This Row],[target]],LEN(Table1[[#This Row],[target]])-FIND("|",Table1[[#This Row],[target]]))</f>
        <v>Win32</v>
      </c>
      <c r="G46" t="str">
        <f>IF("M5"=RIGHT(Table1[[#This Row],[config]],2),"GEQm5","LEQm4")</f>
        <v>LEQm4</v>
      </c>
      <c r="H46" s="4" t="str">
        <f>IF("M5"=RIGHT(Table1[[#This Row],[config]],2),LEFT(Table1[[#This Row],[config]],LEN(Table1[[#This Row],[config]])-2),Table1[[#This Row],[config]])</f>
        <v>EXTE</v>
      </c>
    </row>
    <row r="47" spans="1:8" x14ac:dyDescent="0.25">
      <c r="A47" s="1" t="s">
        <v>4</v>
      </c>
      <c r="B47">
        <v>15</v>
      </c>
      <c r="C47" s="1" t="s">
        <v>23</v>
      </c>
      <c r="D47" s="1" t="s">
        <v>80</v>
      </c>
      <c r="E47" t="str">
        <f>LEFT(Table1[[#This Row],[target]],FIND("|",Table1[[#This Row],[target]])-1)</f>
        <v>EXTE</v>
      </c>
      <c r="F47" t="str">
        <f>RIGHT(Table1[[#This Row],[target]],LEN(Table1[[#This Row],[target]])-FIND("|",Table1[[#This Row],[target]]))</f>
        <v>Win32</v>
      </c>
      <c r="G47" t="str">
        <f>IF("M5"=RIGHT(Table1[[#This Row],[config]],2),"GEQm5","LEQm4")</f>
        <v>LEQm4</v>
      </c>
      <c r="H47" s="4" t="str">
        <f>IF("M5"=RIGHT(Table1[[#This Row],[config]],2),LEFT(Table1[[#This Row],[config]],LEN(Table1[[#This Row],[config]])-2),Table1[[#This Row],[config]])</f>
        <v>EXTE</v>
      </c>
    </row>
    <row r="48" spans="1:8" x14ac:dyDescent="0.25">
      <c r="A48" s="1" t="s">
        <v>4</v>
      </c>
      <c r="B48">
        <v>15</v>
      </c>
      <c r="C48" s="1" t="s">
        <v>23</v>
      </c>
      <c r="D48" s="1" t="s">
        <v>26</v>
      </c>
      <c r="E48" t="str">
        <f>LEFT(Table1[[#This Row],[target]],FIND("|",Table1[[#This Row],[target]])-1)</f>
        <v>EXTE</v>
      </c>
      <c r="F48" t="str">
        <f>RIGHT(Table1[[#This Row],[target]],LEN(Table1[[#This Row],[target]])-FIND("|",Table1[[#This Row],[target]]))</f>
        <v>Win32</v>
      </c>
      <c r="G48" t="str">
        <f>IF("M5"=RIGHT(Table1[[#This Row],[config]],2),"GEQm5","LEQm4")</f>
        <v>LEQm4</v>
      </c>
      <c r="H48" s="4" t="str">
        <f>IF("M5"=RIGHT(Table1[[#This Row],[config]],2),LEFT(Table1[[#This Row],[config]],LEN(Table1[[#This Row],[config]])-2),Table1[[#This Row],[config]])</f>
        <v>EXTE</v>
      </c>
    </row>
    <row r="49" spans="1:8" x14ac:dyDescent="0.25">
      <c r="A49" s="1" t="s">
        <v>4</v>
      </c>
      <c r="B49">
        <v>15</v>
      </c>
      <c r="C49" s="1" t="s">
        <v>23</v>
      </c>
      <c r="D49" s="1" t="s">
        <v>74</v>
      </c>
      <c r="E49" t="str">
        <f>LEFT(Table1[[#This Row],[target]],FIND("|",Table1[[#This Row],[target]])-1)</f>
        <v>EXTE</v>
      </c>
      <c r="F49" t="str">
        <f>RIGHT(Table1[[#This Row],[target]],LEN(Table1[[#This Row],[target]])-FIND("|",Table1[[#This Row],[target]]))</f>
        <v>Win32</v>
      </c>
      <c r="G49" t="str">
        <f>IF("M5"=RIGHT(Table1[[#This Row],[config]],2),"GEQm5","LEQm4")</f>
        <v>LEQm4</v>
      </c>
      <c r="H49" s="4" t="str">
        <f>IF("M5"=RIGHT(Table1[[#This Row],[config]],2),LEFT(Table1[[#This Row],[config]],LEN(Table1[[#This Row],[config]])-2),Table1[[#This Row],[config]])</f>
        <v>EXTE</v>
      </c>
    </row>
    <row r="50" spans="1:8" x14ac:dyDescent="0.25">
      <c r="A50" s="1" t="s">
        <v>4</v>
      </c>
      <c r="B50">
        <v>15</v>
      </c>
      <c r="C50" s="1" t="s">
        <v>23</v>
      </c>
      <c r="D50" s="1" t="s">
        <v>71</v>
      </c>
      <c r="E50" t="str">
        <f>LEFT(Table1[[#This Row],[target]],FIND("|",Table1[[#This Row],[target]])-1)</f>
        <v>EXTE</v>
      </c>
      <c r="F50" t="str">
        <f>RIGHT(Table1[[#This Row],[target]],LEN(Table1[[#This Row],[target]])-FIND("|",Table1[[#This Row],[target]]))</f>
        <v>Win32</v>
      </c>
      <c r="G50" t="str">
        <f>IF("M5"=RIGHT(Table1[[#This Row],[config]],2),"GEQm5","LEQm4")</f>
        <v>LEQm4</v>
      </c>
      <c r="H50" s="4" t="str">
        <f>IF("M5"=RIGHT(Table1[[#This Row],[config]],2),LEFT(Table1[[#This Row],[config]],LEN(Table1[[#This Row],[config]])-2),Table1[[#This Row],[config]])</f>
        <v>EXTE</v>
      </c>
    </row>
    <row r="51" spans="1:8" x14ac:dyDescent="0.25">
      <c r="A51" s="1" t="s">
        <v>4</v>
      </c>
      <c r="B51">
        <v>15</v>
      </c>
      <c r="C51" s="1" t="s">
        <v>23</v>
      </c>
      <c r="D51" s="1" t="s">
        <v>27</v>
      </c>
      <c r="E51" t="str">
        <f>LEFT(Table1[[#This Row],[target]],FIND("|",Table1[[#This Row],[target]])-1)</f>
        <v>EXTE</v>
      </c>
      <c r="F51" t="str">
        <f>RIGHT(Table1[[#This Row],[target]],LEN(Table1[[#This Row],[target]])-FIND("|",Table1[[#This Row],[target]]))</f>
        <v>Win32</v>
      </c>
      <c r="G51" t="str">
        <f>IF("M5"=RIGHT(Table1[[#This Row],[config]],2),"GEQm5","LEQm4")</f>
        <v>LEQm4</v>
      </c>
      <c r="H51" s="4" t="str">
        <f>IF("M5"=RIGHT(Table1[[#This Row],[config]],2),LEFT(Table1[[#This Row],[config]],LEN(Table1[[#This Row],[config]])-2),Table1[[#This Row],[config]])</f>
        <v>EXTE</v>
      </c>
    </row>
    <row r="52" spans="1:8" x14ac:dyDescent="0.25">
      <c r="A52" s="1" t="s">
        <v>4</v>
      </c>
      <c r="B52">
        <v>15</v>
      </c>
      <c r="C52" s="1" t="s">
        <v>23</v>
      </c>
      <c r="D52" s="1" t="s">
        <v>75</v>
      </c>
      <c r="E52" t="str">
        <f>LEFT(Table1[[#This Row],[target]],FIND("|",Table1[[#This Row],[target]])-1)</f>
        <v>EXTE</v>
      </c>
      <c r="F52" t="str">
        <f>RIGHT(Table1[[#This Row],[target]],LEN(Table1[[#This Row],[target]])-FIND("|",Table1[[#This Row],[target]]))</f>
        <v>Win32</v>
      </c>
      <c r="G52" t="str">
        <f>IF("M5"=RIGHT(Table1[[#This Row],[config]],2),"GEQm5","LEQm4")</f>
        <v>LEQm4</v>
      </c>
      <c r="H52" s="4" t="str">
        <f>IF("M5"=RIGHT(Table1[[#This Row],[config]],2),LEFT(Table1[[#This Row],[config]],LEN(Table1[[#This Row],[config]])-2),Table1[[#This Row],[config]])</f>
        <v>EXTE</v>
      </c>
    </row>
    <row r="53" spans="1:8" x14ac:dyDescent="0.25">
      <c r="A53" s="1" t="s">
        <v>4</v>
      </c>
      <c r="B53">
        <v>15</v>
      </c>
      <c r="C53" s="1" t="s">
        <v>23</v>
      </c>
      <c r="D53" s="1" t="s">
        <v>78</v>
      </c>
      <c r="E53" t="str">
        <f>LEFT(Table1[[#This Row],[target]],FIND("|",Table1[[#This Row],[target]])-1)</f>
        <v>EXTE</v>
      </c>
      <c r="F53" t="str">
        <f>RIGHT(Table1[[#This Row],[target]],LEN(Table1[[#This Row],[target]])-FIND("|",Table1[[#This Row],[target]]))</f>
        <v>Win32</v>
      </c>
      <c r="G53" t="str">
        <f>IF("M5"=RIGHT(Table1[[#This Row],[config]],2),"GEQm5","LEQm4")</f>
        <v>LEQm4</v>
      </c>
      <c r="H53" s="4" t="str">
        <f>IF("M5"=RIGHT(Table1[[#This Row],[config]],2),LEFT(Table1[[#This Row],[config]],LEN(Table1[[#This Row],[config]])-2),Table1[[#This Row],[config]])</f>
        <v>EXTE</v>
      </c>
    </row>
    <row r="54" spans="1:8" x14ac:dyDescent="0.25">
      <c r="A54" s="1" t="s">
        <v>4</v>
      </c>
      <c r="B54">
        <v>15</v>
      </c>
      <c r="C54" s="1" t="s">
        <v>23</v>
      </c>
      <c r="D54" s="1" t="s">
        <v>79</v>
      </c>
      <c r="E54" t="str">
        <f>LEFT(Table1[[#This Row],[target]],FIND("|",Table1[[#This Row],[target]])-1)</f>
        <v>EXTE</v>
      </c>
      <c r="F54" t="str">
        <f>RIGHT(Table1[[#This Row],[target]],LEN(Table1[[#This Row],[target]])-FIND("|",Table1[[#This Row],[target]]))</f>
        <v>Win32</v>
      </c>
      <c r="G54" t="str">
        <f>IF("M5"=RIGHT(Table1[[#This Row],[config]],2),"GEQm5","LEQm4")</f>
        <v>LEQm4</v>
      </c>
      <c r="H54" s="4" t="str">
        <f>IF("M5"=RIGHT(Table1[[#This Row],[config]],2),LEFT(Table1[[#This Row],[config]],LEN(Table1[[#This Row],[config]])-2),Table1[[#This Row],[config]])</f>
        <v>EXTE</v>
      </c>
    </row>
    <row r="55" spans="1:8" x14ac:dyDescent="0.25">
      <c r="A55" s="1" t="s">
        <v>4</v>
      </c>
      <c r="B55">
        <v>15</v>
      </c>
      <c r="C55" s="1" t="s">
        <v>22</v>
      </c>
      <c r="D55" s="1" t="s">
        <v>82</v>
      </c>
      <c r="E55" t="str">
        <f>LEFT(Table1[[#This Row],[target]],FIND("|",Table1[[#This Row],[target]])-1)</f>
        <v>EXTE</v>
      </c>
      <c r="F55" t="str">
        <f>RIGHT(Table1[[#This Row],[target]],LEN(Table1[[#This Row],[target]])-FIND("|",Table1[[#This Row],[target]]))</f>
        <v>x64</v>
      </c>
      <c r="G55" t="str">
        <f>IF("M5"=RIGHT(Table1[[#This Row],[config]],2),"GEQm5","LEQm4")</f>
        <v>LEQm4</v>
      </c>
      <c r="H55" s="4" t="str">
        <f>IF("M5"=RIGHT(Table1[[#This Row],[config]],2),LEFT(Table1[[#This Row],[config]],LEN(Table1[[#This Row],[config]])-2),Table1[[#This Row],[config]])</f>
        <v>EXTE</v>
      </c>
    </row>
    <row r="56" spans="1:8" x14ac:dyDescent="0.25">
      <c r="A56" s="1" t="s">
        <v>4</v>
      </c>
      <c r="B56">
        <v>15</v>
      </c>
      <c r="C56" s="1" t="s">
        <v>22</v>
      </c>
      <c r="D56" s="1" t="s">
        <v>72</v>
      </c>
      <c r="E56" t="str">
        <f>LEFT(Table1[[#This Row],[target]],FIND("|",Table1[[#This Row],[target]])-1)</f>
        <v>EXTE</v>
      </c>
      <c r="F56" t="str">
        <f>RIGHT(Table1[[#This Row],[target]],LEN(Table1[[#This Row],[target]])-FIND("|",Table1[[#This Row],[target]]))</f>
        <v>x64</v>
      </c>
      <c r="G56" t="str">
        <f>IF("M5"=RIGHT(Table1[[#This Row],[config]],2),"GEQm5","LEQm4")</f>
        <v>LEQm4</v>
      </c>
      <c r="H56" s="4" t="str">
        <f>IF("M5"=RIGHT(Table1[[#This Row],[config]],2),LEFT(Table1[[#This Row],[config]],LEN(Table1[[#This Row],[config]])-2),Table1[[#This Row],[config]])</f>
        <v>EXTE</v>
      </c>
    </row>
    <row r="57" spans="1:8" x14ac:dyDescent="0.25">
      <c r="A57" s="1" t="s">
        <v>4</v>
      </c>
      <c r="B57">
        <v>15</v>
      </c>
      <c r="C57" s="1" t="s">
        <v>22</v>
      </c>
      <c r="D57" s="1" t="s">
        <v>25</v>
      </c>
      <c r="E57" t="str">
        <f>LEFT(Table1[[#This Row],[target]],FIND("|",Table1[[#This Row],[target]])-1)</f>
        <v>EXTE</v>
      </c>
      <c r="F57" t="str">
        <f>RIGHT(Table1[[#This Row],[target]],LEN(Table1[[#This Row],[target]])-FIND("|",Table1[[#This Row],[target]]))</f>
        <v>x64</v>
      </c>
      <c r="G57" t="str">
        <f>IF("M5"=RIGHT(Table1[[#This Row],[config]],2),"GEQm5","LEQm4")</f>
        <v>LEQm4</v>
      </c>
      <c r="H57" s="4" t="str">
        <f>IF("M5"=RIGHT(Table1[[#This Row],[config]],2),LEFT(Table1[[#This Row],[config]],LEN(Table1[[#This Row],[config]])-2),Table1[[#This Row],[config]])</f>
        <v>EXTE</v>
      </c>
    </row>
    <row r="58" spans="1:8" x14ac:dyDescent="0.25">
      <c r="A58" s="1" t="s">
        <v>4</v>
      </c>
      <c r="B58">
        <v>15</v>
      </c>
      <c r="C58" s="1" t="s">
        <v>22</v>
      </c>
      <c r="D58" s="1" t="s">
        <v>80</v>
      </c>
      <c r="E58" t="str">
        <f>LEFT(Table1[[#This Row],[target]],FIND("|",Table1[[#This Row],[target]])-1)</f>
        <v>EXTE</v>
      </c>
      <c r="F58" t="str">
        <f>RIGHT(Table1[[#This Row],[target]],LEN(Table1[[#This Row],[target]])-FIND("|",Table1[[#This Row],[target]]))</f>
        <v>x64</v>
      </c>
      <c r="G58" t="str">
        <f>IF("M5"=RIGHT(Table1[[#This Row],[config]],2),"GEQm5","LEQm4")</f>
        <v>LEQm4</v>
      </c>
      <c r="H58" s="4" t="str">
        <f>IF("M5"=RIGHT(Table1[[#This Row],[config]],2),LEFT(Table1[[#This Row],[config]],LEN(Table1[[#This Row],[config]])-2),Table1[[#This Row],[config]])</f>
        <v>EXTE</v>
      </c>
    </row>
    <row r="59" spans="1:8" x14ac:dyDescent="0.25">
      <c r="A59" s="1" t="s">
        <v>4</v>
      </c>
      <c r="B59">
        <v>15</v>
      </c>
      <c r="C59" s="1" t="s">
        <v>22</v>
      </c>
      <c r="D59" s="1" t="s">
        <v>26</v>
      </c>
      <c r="E59" t="str">
        <f>LEFT(Table1[[#This Row],[target]],FIND("|",Table1[[#This Row],[target]])-1)</f>
        <v>EXTE</v>
      </c>
      <c r="F59" t="str">
        <f>RIGHT(Table1[[#This Row],[target]],LEN(Table1[[#This Row],[target]])-FIND("|",Table1[[#This Row],[target]]))</f>
        <v>x64</v>
      </c>
      <c r="G59" t="str">
        <f>IF("M5"=RIGHT(Table1[[#This Row],[config]],2),"GEQm5","LEQm4")</f>
        <v>LEQm4</v>
      </c>
      <c r="H59" s="4" t="str">
        <f>IF("M5"=RIGHT(Table1[[#This Row],[config]],2),LEFT(Table1[[#This Row],[config]],LEN(Table1[[#This Row],[config]])-2),Table1[[#This Row],[config]])</f>
        <v>EXTE</v>
      </c>
    </row>
    <row r="60" spans="1:8" x14ac:dyDescent="0.25">
      <c r="A60" s="1" t="s">
        <v>4</v>
      </c>
      <c r="B60">
        <v>15</v>
      </c>
      <c r="C60" s="1" t="s">
        <v>22</v>
      </c>
      <c r="D60" s="1" t="s">
        <v>73</v>
      </c>
      <c r="E60" t="str">
        <f>LEFT(Table1[[#This Row],[target]],FIND("|",Table1[[#This Row],[target]])-1)</f>
        <v>EXTE</v>
      </c>
      <c r="F60" t="str">
        <f>RIGHT(Table1[[#This Row],[target]],LEN(Table1[[#This Row],[target]])-FIND("|",Table1[[#This Row],[target]]))</f>
        <v>x64</v>
      </c>
      <c r="G60" t="str">
        <f>IF("M5"=RIGHT(Table1[[#This Row],[config]],2),"GEQm5","LEQm4")</f>
        <v>LEQm4</v>
      </c>
      <c r="H60" s="4" t="str">
        <f>IF("M5"=RIGHT(Table1[[#This Row],[config]],2),LEFT(Table1[[#This Row],[config]],LEN(Table1[[#This Row],[config]])-2),Table1[[#This Row],[config]])</f>
        <v>EXTE</v>
      </c>
    </row>
    <row r="61" spans="1:8" x14ac:dyDescent="0.25">
      <c r="A61" s="1" t="s">
        <v>4</v>
      </c>
      <c r="B61">
        <v>15</v>
      </c>
      <c r="C61" s="1" t="s">
        <v>22</v>
      </c>
      <c r="D61" s="1" t="s">
        <v>71</v>
      </c>
      <c r="E61" t="str">
        <f>LEFT(Table1[[#This Row],[target]],FIND("|",Table1[[#This Row],[target]])-1)</f>
        <v>EXTE</v>
      </c>
      <c r="F61" t="str">
        <f>RIGHT(Table1[[#This Row],[target]],LEN(Table1[[#This Row],[target]])-FIND("|",Table1[[#This Row],[target]]))</f>
        <v>x64</v>
      </c>
      <c r="G61" t="str">
        <f>IF("M5"=RIGHT(Table1[[#This Row],[config]],2),"GEQm5","LEQm4")</f>
        <v>LEQm4</v>
      </c>
      <c r="H61" s="4" t="str">
        <f>IF("M5"=RIGHT(Table1[[#This Row],[config]],2),LEFT(Table1[[#This Row],[config]],LEN(Table1[[#This Row],[config]])-2),Table1[[#This Row],[config]])</f>
        <v>EXTE</v>
      </c>
    </row>
    <row r="62" spans="1:8" x14ac:dyDescent="0.25">
      <c r="A62" s="1" t="s">
        <v>4</v>
      </c>
      <c r="B62">
        <v>15</v>
      </c>
      <c r="C62" s="1" t="s">
        <v>22</v>
      </c>
      <c r="D62" s="1" t="s">
        <v>27</v>
      </c>
      <c r="E62" t="str">
        <f>LEFT(Table1[[#This Row],[target]],FIND("|",Table1[[#This Row],[target]])-1)</f>
        <v>EXTE</v>
      </c>
      <c r="F62" t="str">
        <f>RIGHT(Table1[[#This Row],[target]],LEN(Table1[[#This Row],[target]])-FIND("|",Table1[[#This Row],[target]]))</f>
        <v>x64</v>
      </c>
      <c r="G62" t="str">
        <f>IF("M5"=RIGHT(Table1[[#This Row],[config]],2),"GEQm5","LEQm4")</f>
        <v>LEQm4</v>
      </c>
      <c r="H62" s="4" t="str">
        <f>IF("M5"=RIGHT(Table1[[#This Row],[config]],2),LEFT(Table1[[#This Row],[config]],LEN(Table1[[#This Row],[config]])-2),Table1[[#This Row],[config]])</f>
        <v>EXTE</v>
      </c>
    </row>
    <row r="63" spans="1:8" x14ac:dyDescent="0.25">
      <c r="A63" s="1" t="s">
        <v>4</v>
      </c>
      <c r="B63">
        <v>15</v>
      </c>
      <c r="C63" s="1" t="s">
        <v>22</v>
      </c>
      <c r="D63" s="1" t="s">
        <v>75</v>
      </c>
      <c r="E63" t="str">
        <f>LEFT(Table1[[#This Row],[target]],FIND("|",Table1[[#This Row],[target]])-1)</f>
        <v>EXTE</v>
      </c>
      <c r="F63" t="str">
        <f>RIGHT(Table1[[#This Row],[target]],LEN(Table1[[#This Row],[target]])-FIND("|",Table1[[#This Row],[target]]))</f>
        <v>x64</v>
      </c>
      <c r="G63" t="str">
        <f>IF("M5"=RIGHT(Table1[[#This Row],[config]],2),"GEQm5","LEQm4")</f>
        <v>LEQm4</v>
      </c>
      <c r="H63" s="4" t="str">
        <f>IF("M5"=RIGHT(Table1[[#This Row],[config]],2),LEFT(Table1[[#This Row],[config]],LEN(Table1[[#This Row],[config]])-2),Table1[[#This Row],[config]])</f>
        <v>EXTE</v>
      </c>
    </row>
    <row r="64" spans="1:8" x14ac:dyDescent="0.25">
      <c r="A64" s="1" t="s">
        <v>4</v>
      </c>
      <c r="B64">
        <v>15</v>
      </c>
      <c r="C64" s="1" t="s">
        <v>22</v>
      </c>
      <c r="D64" s="1" t="s">
        <v>78</v>
      </c>
      <c r="E64" t="str">
        <f>LEFT(Table1[[#This Row],[target]],FIND("|",Table1[[#This Row],[target]])-1)</f>
        <v>EXTE</v>
      </c>
      <c r="F64" t="str">
        <f>RIGHT(Table1[[#This Row],[target]],LEN(Table1[[#This Row],[target]])-FIND("|",Table1[[#This Row],[target]]))</f>
        <v>x64</v>
      </c>
      <c r="G64" t="str">
        <f>IF("M5"=RIGHT(Table1[[#This Row],[config]],2),"GEQm5","LEQm4")</f>
        <v>LEQm4</v>
      </c>
      <c r="H64" s="4" t="str">
        <f>IF("M5"=RIGHT(Table1[[#This Row],[config]],2),LEFT(Table1[[#This Row],[config]],LEN(Table1[[#This Row],[config]])-2),Table1[[#This Row],[config]])</f>
        <v>EXTE</v>
      </c>
    </row>
    <row r="65" spans="1:8" x14ac:dyDescent="0.25">
      <c r="A65" s="1" t="s">
        <v>4</v>
      </c>
      <c r="B65">
        <v>15</v>
      </c>
      <c r="C65" s="1" t="s">
        <v>22</v>
      </c>
      <c r="D65" s="1" t="s">
        <v>79</v>
      </c>
      <c r="E65" t="str">
        <f>LEFT(Table1[[#This Row],[target]],FIND("|",Table1[[#This Row],[target]])-1)</f>
        <v>EXTE</v>
      </c>
      <c r="F65" t="str">
        <f>RIGHT(Table1[[#This Row],[target]],LEN(Table1[[#This Row],[target]])-FIND("|",Table1[[#This Row],[target]]))</f>
        <v>x64</v>
      </c>
      <c r="G65" t="str">
        <f>IF("M5"=RIGHT(Table1[[#This Row],[config]],2),"GEQm5","LEQm4")</f>
        <v>LEQm4</v>
      </c>
      <c r="H65" s="4" t="str">
        <f>IF("M5"=RIGHT(Table1[[#This Row],[config]],2),LEFT(Table1[[#This Row],[config]],LEN(Table1[[#This Row],[config]])-2),Table1[[#This Row],[config]])</f>
        <v>EXTE</v>
      </c>
    </row>
    <row r="66" spans="1:8" x14ac:dyDescent="0.25">
      <c r="A66" s="1" t="s">
        <v>4</v>
      </c>
      <c r="B66">
        <v>15</v>
      </c>
      <c r="C66" s="1" t="s">
        <v>8</v>
      </c>
      <c r="D66" s="1" t="s">
        <v>82</v>
      </c>
      <c r="E66" t="str">
        <f>LEFT(Table1[[#This Row],[target]],FIND("|",Table1[[#This Row],[target]])-1)</f>
        <v>EXTEM5</v>
      </c>
      <c r="F66" t="str">
        <f>RIGHT(Table1[[#This Row],[target]],LEN(Table1[[#This Row],[target]])-FIND("|",Table1[[#This Row],[target]]))</f>
        <v>Win32</v>
      </c>
      <c r="G66" t="str">
        <f>IF("M5"=RIGHT(Table1[[#This Row],[config]],2),"GEQm5","LEQm4")</f>
        <v>GEQm5</v>
      </c>
      <c r="H66" s="4" t="str">
        <f>IF("M5"=RIGHT(Table1[[#This Row],[config]],2),LEFT(Table1[[#This Row],[config]],LEN(Table1[[#This Row],[config]])-2),Table1[[#This Row],[config]])</f>
        <v>EXTE</v>
      </c>
    </row>
    <row r="67" spans="1:8" x14ac:dyDescent="0.25">
      <c r="A67" s="1" t="s">
        <v>4</v>
      </c>
      <c r="B67">
        <v>15</v>
      </c>
      <c r="C67" s="1" t="s">
        <v>8</v>
      </c>
      <c r="D67" s="1" t="s">
        <v>72</v>
      </c>
      <c r="E67" t="str">
        <f>LEFT(Table1[[#This Row],[target]],FIND("|",Table1[[#This Row],[target]])-1)</f>
        <v>EXTEM5</v>
      </c>
      <c r="F67" t="str">
        <f>RIGHT(Table1[[#This Row],[target]],LEN(Table1[[#This Row],[target]])-FIND("|",Table1[[#This Row],[target]]))</f>
        <v>Win32</v>
      </c>
      <c r="G67" t="str">
        <f>IF("M5"=RIGHT(Table1[[#This Row],[config]],2),"GEQm5","LEQm4")</f>
        <v>GEQm5</v>
      </c>
      <c r="H67" s="4" t="str">
        <f>IF("M5"=RIGHT(Table1[[#This Row],[config]],2),LEFT(Table1[[#This Row],[config]],LEN(Table1[[#This Row],[config]])-2),Table1[[#This Row],[config]])</f>
        <v>EXTE</v>
      </c>
    </row>
    <row r="68" spans="1:8" x14ac:dyDescent="0.25">
      <c r="A68" s="1" t="s">
        <v>4</v>
      </c>
      <c r="B68">
        <v>15</v>
      </c>
      <c r="C68" s="1" t="s">
        <v>8</v>
      </c>
      <c r="D68" s="1" t="s">
        <v>25</v>
      </c>
      <c r="E68" t="str">
        <f>LEFT(Table1[[#This Row],[target]],FIND("|",Table1[[#This Row],[target]])-1)</f>
        <v>EXTEM5</v>
      </c>
      <c r="F68" t="str">
        <f>RIGHT(Table1[[#This Row],[target]],LEN(Table1[[#This Row],[target]])-FIND("|",Table1[[#This Row],[target]]))</f>
        <v>Win32</v>
      </c>
      <c r="G68" t="str">
        <f>IF("M5"=RIGHT(Table1[[#This Row],[config]],2),"GEQm5","LEQm4")</f>
        <v>GEQm5</v>
      </c>
      <c r="H68" s="4" t="str">
        <f>IF("M5"=RIGHT(Table1[[#This Row],[config]],2),LEFT(Table1[[#This Row],[config]],LEN(Table1[[#This Row],[config]])-2),Table1[[#This Row],[config]])</f>
        <v>EXTE</v>
      </c>
    </row>
    <row r="69" spans="1:8" x14ac:dyDescent="0.25">
      <c r="A69" s="1" t="s">
        <v>4</v>
      </c>
      <c r="B69">
        <v>15</v>
      </c>
      <c r="C69" s="1" t="s">
        <v>8</v>
      </c>
      <c r="D69" s="1" t="s">
        <v>77</v>
      </c>
      <c r="E69" t="str">
        <f>LEFT(Table1[[#This Row],[target]],FIND("|",Table1[[#This Row],[target]])-1)</f>
        <v>EXTEM5</v>
      </c>
      <c r="F69" t="str">
        <f>RIGHT(Table1[[#This Row],[target]],LEN(Table1[[#This Row],[target]])-FIND("|",Table1[[#This Row],[target]]))</f>
        <v>Win32</v>
      </c>
      <c r="G69" t="str">
        <f>IF("M5"=RIGHT(Table1[[#This Row],[config]],2),"GEQm5","LEQm4")</f>
        <v>GEQm5</v>
      </c>
      <c r="H69" s="4" t="str">
        <f>IF("M5"=RIGHT(Table1[[#This Row],[config]],2),LEFT(Table1[[#This Row],[config]],LEN(Table1[[#This Row],[config]])-2),Table1[[#This Row],[config]])</f>
        <v>EXTE</v>
      </c>
    </row>
    <row r="70" spans="1:8" x14ac:dyDescent="0.25">
      <c r="A70" s="1" t="s">
        <v>4</v>
      </c>
      <c r="B70">
        <v>15</v>
      </c>
      <c r="C70" s="1" t="s">
        <v>8</v>
      </c>
      <c r="D70" s="1" t="s">
        <v>26</v>
      </c>
      <c r="E70" t="str">
        <f>LEFT(Table1[[#This Row],[target]],FIND("|",Table1[[#This Row],[target]])-1)</f>
        <v>EXTEM5</v>
      </c>
      <c r="F70" t="str">
        <f>RIGHT(Table1[[#This Row],[target]],LEN(Table1[[#This Row],[target]])-FIND("|",Table1[[#This Row],[target]]))</f>
        <v>Win32</v>
      </c>
      <c r="G70" t="str">
        <f>IF("M5"=RIGHT(Table1[[#This Row],[config]],2),"GEQm5","LEQm4")</f>
        <v>GEQm5</v>
      </c>
      <c r="H70" s="4" t="str">
        <f>IF("M5"=RIGHT(Table1[[#This Row],[config]],2),LEFT(Table1[[#This Row],[config]],LEN(Table1[[#This Row],[config]])-2),Table1[[#This Row],[config]])</f>
        <v>EXTE</v>
      </c>
    </row>
    <row r="71" spans="1:8" x14ac:dyDescent="0.25">
      <c r="A71" s="1" t="s">
        <v>4</v>
      </c>
      <c r="B71">
        <v>15</v>
      </c>
      <c r="C71" s="1" t="s">
        <v>8</v>
      </c>
      <c r="D71" s="1" t="s">
        <v>74</v>
      </c>
      <c r="E71" t="str">
        <f>LEFT(Table1[[#This Row],[target]],FIND("|",Table1[[#This Row],[target]])-1)</f>
        <v>EXTEM5</v>
      </c>
      <c r="F71" t="str">
        <f>RIGHT(Table1[[#This Row],[target]],LEN(Table1[[#This Row],[target]])-FIND("|",Table1[[#This Row],[target]]))</f>
        <v>Win32</v>
      </c>
      <c r="G71" t="str">
        <f>IF("M5"=RIGHT(Table1[[#This Row],[config]],2),"GEQm5","LEQm4")</f>
        <v>GEQm5</v>
      </c>
      <c r="H71" s="4" t="str">
        <f>IF("M5"=RIGHT(Table1[[#This Row],[config]],2),LEFT(Table1[[#This Row],[config]],LEN(Table1[[#This Row],[config]])-2),Table1[[#This Row],[config]])</f>
        <v>EXTE</v>
      </c>
    </row>
    <row r="72" spans="1:8" x14ac:dyDescent="0.25">
      <c r="A72" s="1" t="s">
        <v>4</v>
      </c>
      <c r="B72">
        <v>15</v>
      </c>
      <c r="C72" s="1" t="s">
        <v>8</v>
      </c>
      <c r="D72" s="1" t="s">
        <v>70</v>
      </c>
      <c r="E72" t="str">
        <f>LEFT(Table1[[#This Row],[target]],FIND("|",Table1[[#This Row],[target]])-1)</f>
        <v>EXTEM5</v>
      </c>
      <c r="F72" t="str">
        <f>RIGHT(Table1[[#This Row],[target]],LEN(Table1[[#This Row],[target]])-FIND("|",Table1[[#This Row],[target]]))</f>
        <v>Win32</v>
      </c>
      <c r="G72" t="str">
        <f>IF("M5"=RIGHT(Table1[[#This Row],[config]],2),"GEQm5","LEQm4")</f>
        <v>GEQm5</v>
      </c>
      <c r="H72" s="4" t="str">
        <f>IF("M5"=RIGHT(Table1[[#This Row],[config]],2),LEFT(Table1[[#This Row],[config]],LEN(Table1[[#This Row],[config]])-2),Table1[[#This Row],[config]])</f>
        <v>EXTE</v>
      </c>
    </row>
    <row r="73" spans="1:8" x14ac:dyDescent="0.25">
      <c r="A73" s="1" t="s">
        <v>4</v>
      </c>
      <c r="B73">
        <v>15</v>
      </c>
      <c r="C73" s="1" t="s">
        <v>8</v>
      </c>
      <c r="D73" s="1" t="s">
        <v>28</v>
      </c>
      <c r="E73" t="str">
        <f>LEFT(Table1[[#This Row],[target]],FIND("|",Table1[[#This Row],[target]])-1)</f>
        <v>EXTEM5</v>
      </c>
      <c r="F73" t="str">
        <f>RIGHT(Table1[[#This Row],[target]],LEN(Table1[[#This Row],[target]])-FIND("|",Table1[[#This Row],[target]]))</f>
        <v>Win32</v>
      </c>
      <c r="G73" t="str">
        <f>IF("M5"=RIGHT(Table1[[#This Row],[config]],2),"GEQm5","LEQm4")</f>
        <v>GEQm5</v>
      </c>
      <c r="H73" s="4" t="str">
        <f>IF("M5"=RIGHT(Table1[[#This Row],[config]],2),LEFT(Table1[[#This Row],[config]],LEN(Table1[[#This Row],[config]])-2),Table1[[#This Row],[config]])</f>
        <v>EXTE</v>
      </c>
    </row>
    <row r="74" spans="1:8" x14ac:dyDescent="0.25">
      <c r="A74" s="1" t="s">
        <v>4</v>
      </c>
      <c r="B74">
        <v>15</v>
      </c>
      <c r="C74" s="1" t="s">
        <v>8</v>
      </c>
      <c r="D74" s="1" t="s">
        <v>75</v>
      </c>
      <c r="E74" t="str">
        <f>LEFT(Table1[[#This Row],[target]],FIND("|",Table1[[#This Row],[target]])-1)</f>
        <v>EXTEM5</v>
      </c>
      <c r="F74" t="str">
        <f>RIGHT(Table1[[#This Row],[target]],LEN(Table1[[#This Row],[target]])-FIND("|",Table1[[#This Row],[target]]))</f>
        <v>Win32</v>
      </c>
      <c r="G74" t="str">
        <f>IF("M5"=RIGHT(Table1[[#This Row],[config]],2),"GEQm5","LEQm4")</f>
        <v>GEQm5</v>
      </c>
      <c r="H74" s="4" t="str">
        <f>IF("M5"=RIGHT(Table1[[#This Row],[config]],2),LEFT(Table1[[#This Row],[config]],LEN(Table1[[#This Row],[config]])-2),Table1[[#This Row],[config]])</f>
        <v>EXTE</v>
      </c>
    </row>
    <row r="75" spans="1:8" x14ac:dyDescent="0.25">
      <c r="A75" s="1" t="s">
        <v>4</v>
      </c>
      <c r="B75">
        <v>15</v>
      </c>
      <c r="C75" s="1" t="s">
        <v>8</v>
      </c>
      <c r="D75" s="1" t="s">
        <v>78</v>
      </c>
      <c r="E75" t="str">
        <f>LEFT(Table1[[#This Row],[target]],FIND("|",Table1[[#This Row],[target]])-1)</f>
        <v>EXTEM5</v>
      </c>
      <c r="F75" t="str">
        <f>RIGHT(Table1[[#This Row],[target]],LEN(Table1[[#This Row],[target]])-FIND("|",Table1[[#This Row],[target]]))</f>
        <v>Win32</v>
      </c>
      <c r="G75" t="str">
        <f>IF("M5"=RIGHT(Table1[[#This Row],[config]],2),"GEQm5","LEQm4")</f>
        <v>GEQm5</v>
      </c>
      <c r="H75" s="4" t="str">
        <f>IF("M5"=RIGHT(Table1[[#This Row],[config]],2),LEFT(Table1[[#This Row],[config]],LEN(Table1[[#This Row],[config]])-2),Table1[[#This Row],[config]])</f>
        <v>EXTE</v>
      </c>
    </row>
    <row r="76" spans="1:8" x14ac:dyDescent="0.25">
      <c r="A76" s="1" t="s">
        <v>4</v>
      </c>
      <c r="B76">
        <v>15</v>
      </c>
      <c r="C76" s="1" t="s">
        <v>8</v>
      </c>
      <c r="D76" s="1" t="s">
        <v>79</v>
      </c>
      <c r="E76" t="str">
        <f>LEFT(Table1[[#This Row],[target]],FIND("|",Table1[[#This Row],[target]])-1)</f>
        <v>EXTEM5</v>
      </c>
      <c r="F76" t="str">
        <f>RIGHT(Table1[[#This Row],[target]],LEN(Table1[[#This Row],[target]])-FIND("|",Table1[[#This Row],[target]]))</f>
        <v>Win32</v>
      </c>
      <c r="G76" t="str">
        <f>IF("M5"=RIGHT(Table1[[#This Row],[config]],2),"GEQm5","LEQm4")</f>
        <v>GEQm5</v>
      </c>
      <c r="H76" s="4" t="str">
        <f>IF("M5"=RIGHT(Table1[[#This Row],[config]],2),LEFT(Table1[[#This Row],[config]],LEN(Table1[[#This Row],[config]])-2),Table1[[#This Row],[config]])</f>
        <v>EXTE</v>
      </c>
    </row>
    <row r="77" spans="1:8" x14ac:dyDescent="0.25">
      <c r="A77" s="1" t="s">
        <v>4</v>
      </c>
      <c r="B77">
        <v>15</v>
      </c>
      <c r="C77" s="1" t="s">
        <v>8</v>
      </c>
      <c r="D77" s="1" t="s">
        <v>80</v>
      </c>
      <c r="E77" t="str">
        <f>LEFT(Table1[[#This Row],[target]],FIND("|",Table1[[#This Row],[target]])-1)</f>
        <v>EXTEM5</v>
      </c>
      <c r="F77" t="str">
        <f>RIGHT(Table1[[#This Row],[target]],LEN(Table1[[#This Row],[target]])-FIND("|",Table1[[#This Row],[target]]))</f>
        <v>Win32</v>
      </c>
      <c r="G77" t="str">
        <f>IF("M5"=RIGHT(Table1[[#This Row],[config]],2),"GEQm5","LEQm4")</f>
        <v>GEQm5</v>
      </c>
      <c r="H77" s="4" t="str">
        <f>IF("M5"=RIGHT(Table1[[#This Row],[config]],2),LEFT(Table1[[#This Row],[config]],LEN(Table1[[#This Row],[config]])-2),Table1[[#This Row],[config]])</f>
        <v>EXTE</v>
      </c>
    </row>
    <row r="78" spans="1:8" x14ac:dyDescent="0.25">
      <c r="A78" s="1" t="s">
        <v>4</v>
      </c>
      <c r="B78">
        <v>15</v>
      </c>
      <c r="C78" s="1" t="s">
        <v>14</v>
      </c>
      <c r="D78" s="1" t="s">
        <v>82</v>
      </c>
      <c r="E78" t="str">
        <f>LEFT(Table1[[#This Row],[target]],FIND("|",Table1[[#This Row],[target]])-1)</f>
        <v>EXTEM5</v>
      </c>
      <c r="F78" t="str">
        <f>RIGHT(Table1[[#This Row],[target]],LEN(Table1[[#This Row],[target]])-FIND("|",Table1[[#This Row],[target]]))</f>
        <v>x64</v>
      </c>
      <c r="G78" t="str">
        <f>IF("M5"=RIGHT(Table1[[#This Row],[config]],2),"GEQm5","LEQm4")</f>
        <v>GEQm5</v>
      </c>
      <c r="H78" s="4" t="str">
        <f>IF("M5"=RIGHT(Table1[[#This Row],[config]],2),LEFT(Table1[[#This Row],[config]],LEN(Table1[[#This Row],[config]])-2),Table1[[#This Row],[config]])</f>
        <v>EXTE</v>
      </c>
    </row>
    <row r="79" spans="1:8" x14ac:dyDescent="0.25">
      <c r="A79" s="1" t="s">
        <v>4</v>
      </c>
      <c r="B79">
        <v>15</v>
      </c>
      <c r="C79" s="1" t="s">
        <v>14</v>
      </c>
      <c r="D79" s="1" t="s">
        <v>72</v>
      </c>
      <c r="E79" t="str">
        <f>LEFT(Table1[[#This Row],[target]],FIND("|",Table1[[#This Row],[target]])-1)</f>
        <v>EXTEM5</v>
      </c>
      <c r="F79" t="str">
        <f>RIGHT(Table1[[#This Row],[target]],LEN(Table1[[#This Row],[target]])-FIND("|",Table1[[#This Row],[target]]))</f>
        <v>x64</v>
      </c>
      <c r="G79" t="str">
        <f>IF("M5"=RIGHT(Table1[[#This Row],[config]],2),"GEQm5","LEQm4")</f>
        <v>GEQm5</v>
      </c>
      <c r="H79" s="4" t="str">
        <f>IF("M5"=RIGHT(Table1[[#This Row],[config]],2),LEFT(Table1[[#This Row],[config]],LEN(Table1[[#This Row],[config]])-2),Table1[[#This Row],[config]])</f>
        <v>EXTE</v>
      </c>
    </row>
    <row r="80" spans="1:8" x14ac:dyDescent="0.25">
      <c r="A80" s="1" t="s">
        <v>4</v>
      </c>
      <c r="B80">
        <v>15</v>
      </c>
      <c r="C80" s="1" t="s">
        <v>14</v>
      </c>
      <c r="D80" s="1" t="s">
        <v>25</v>
      </c>
      <c r="E80" t="str">
        <f>LEFT(Table1[[#This Row],[target]],FIND("|",Table1[[#This Row],[target]])-1)</f>
        <v>EXTEM5</v>
      </c>
      <c r="F80" t="str">
        <f>RIGHT(Table1[[#This Row],[target]],LEN(Table1[[#This Row],[target]])-FIND("|",Table1[[#This Row],[target]]))</f>
        <v>x64</v>
      </c>
      <c r="G80" t="str">
        <f>IF("M5"=RIGHT(Table1[[#This Row],[config]],2),"GEQm5","LEQm4")</f>
        <v>GEQm5</v>
      </c>
      <c r="H80" s="4" t="str">
        <f>IF("M5"=RIGHT(Table1[[#This Row],[config]],2),LEFT(Table1[[#This Row],[config]],LEN(Table1[[#This Row],[config]])-2),Table1[[#This Row],[config]])</f>
        <v>EXTE</v>
      </c>
    </row>
    <row r="81" spans="1:8" x14ac:dyDescent="0.25">
      <c r="A81" s="1" t="s">
        <v>4</v>
      </c>
      <c r="B81">
        <v>15</v>
      </c>
      <c r="C81" s="1" t="s">
        <v>14</v>
      </c>
      <c r="D81" s="1" t="s">
        <v>77</v>
      </c>
      <c r="E81" t="str">
        <f>LEFT(Table1[[#This Row],[target]],FIND("|",Table1[[#This Row],[target]])-1)</f>
        <v>EXTEM5</v>
      </c>
      <c r="F81" t="str">
        <f>RIGHT(Table1[[#This Row],[target]],LEN(Table1[[#This Row],[target]])-FIND("|",Table1[[#This Row],[target]]))</f>
        <v>x64</v>
      </c>
      <c r="G81" t="str">
        <f>IF("M5"=RIGHT(Table1[[#This Row],[config]],2),"GEQm5","LEQm4")</f>
        <v>GEQm5</v>
      </c>
      <c r="H81" s="4" t="str">
        <f>IF("M5"=RIGHT(Table1[[#This Row],[config]],2),LEFT(Table1[[#This Row],[config]],LEN(Table1[[#This Row],[config]])-2),Table1[[#This Row],[config]])</f>
        <v>EXTE</v>
      </c>
    </row>
    <row r="82" spans="1:8" x14ac:dyDescent="0.25">
      <c r="A82" s="1" t="s">
        <v>4</v>
      </c>
      <c r="B82">
        <v>15</v>
      </c>
      <c r="C82" s="1" t="s">
        <v>14</v>
      </c>
      <c r="D82" s="1" t="s">
        <v>80</v>
      </c>
      <c r="E82" t="str">
        <f>LEFT(Table1[[#This Row],[target]],FIND("|",Table1[[#This Row],[target]])-1)</f>
        <v>EXTEM5</v>
      </c>
      <c r="F82" t="str">
        <f>RIGHT(Table1[[#This Row],[target]],LEN(Table1[[#This Row],[target]])-FIND("|",Table1[[#This Row],[target]]))</f>
        <v>x64</v>
      </c>
      <c r="G82" t="str">
        <f>IF("M5"=RIGHT(Table1[[#This Row],[config]],2),"GEQm5","LEQm4")</f>
        <v>GEQm5</v>
      </c>
      <c r="H82" s="4" t="str">
        <f>IF("M5"=RIGHT(Table1[[#This Row],[config]],2),LEFT(Table1[[#This Row],[config]],LEN(Table1[[#This Row],[config]])-2),Table1[[#This Row],[config]])</f>
        <v>EXTE</v>
      </c>
    </row>
    <row r="83" spans="1:8" x14ac:dyDescent="0.25">
      <c r="A83" s="1" t="s">
        <v>4</v>
      </c>
      <c r="B83">
        <v>15</v>
      </c>
      <c r="C83" s="1" t="s">
        <v>14</v>
      </c>
      <c r="D83" s="1" t="s">
        <v>26</v>
      </c>
      <c r="E83" t="str">
        <f>LEFT(Table1[[#This Row],[target]],FIND("|",Table1[[#This Row],[target]])-1)</f>
        <v>EXTEM5</v>
      </c>
      <c r="F83" t="str">
        <f>RIGHT(Table1[[#This Row],[target]],LEN(Table1[[#This Row],[target]])-FIND("|",Table1[[#This Row],[target]]))</f>
        <v>x64</v>
      </c>
      <c r="G83" t="str">
        <f>IF("M5"=RIGHT(Table1[[#This Row],[config]],2),"GEQm5","LEQm4")</f>
        <v>GEQm5</v>
      </c>
      <c r="H83" s="4" t="str">
        <f>IF("M5"=RIGHT(Table1[[#This Row],[config]],2),LEFT(Table1[[#This Row],[config]],LEN(Table1[[#This Row],[config]])-2),Table1[[#This Row],[config]])</f>
        <v>EXTE</v>
      </c>
    </row>
    <row r="84" spans="1:8" x14ac:dyDescent="0.25">
      <c r="A84" s="1" t="s">
        <v>4</v>
      </c>
      <c r="B84">
        <v>15</v>
      </c>
      <c r="C84" s="1" t="s">
        <v>14</v>
      </c>
      <c r="D84" s="1" t="s">
        <v>73</v>
      </c>
      <c r="E84" t="str">
        <f>LEFT(Table1[[#This Row],[target]],FIND("|",Table1[[#This Row],[target]])-1)</f>
        <v>EXTEM5</v>
      </c>
      <c r="F84" t="str">
        <f>RIGHT(Table1[[#This Row],[target]],LEN(Table1[[#This Row],[target]])-FIND("|",Table1[[#This Row],[target]]))</f>
        <v>x64</v>
      </c>
      <c r="G84" t="str">
        <f>IF("M5"=RIGHT(Table1[[#This Row],[config]],2),"GEQm5","LEQm4")</f>
        <v>GEQm5</v>
      </c>
      <c r="H84" s="4" t="str">
        <f>IF("M5"=RIGHT(Table1[[#This Row],[config]],2),LEFT(Table1[[#This Row],[config]],LEN(Table1[[#This Row],[config]])-2),Table1[[#This Row],[config]])</f>
        <v>EXTE</v>
      </c>
    </row>
    <row r="85" spans="1:8" x14ac:dyDescent="0.25">
      <c r="A85" s="1" t="s">
        <v>4</v>
      </c>
      <c r="B85">
        <v>15</v>
      </c>
      <c r="C85" s="1" t="s">
        <v>14</v>
      </c>
      <c r="D85" s="1" t="s">
        <v>70</v>
      </c>
      <c r="E85" t="str">
        <f>LEFT(Table1[[#This Row],[target]],FIND("|",Table1[[#This Row],[target]])-1)</f>
        <v>EXTEM5</v>
      </c>
      <c r="F85" t="str">
        <f>RIGHT(Table1[[#This Row],[target]],LEN(Table1[[#This Row],[target]])-FIND("|",Table1[[#This Row],[target]]))</f>
        <v>x64</v>
      </c>
      <c r="G85" t="str">
        <f>IF("M5"=RIGHT(Table1[[#This Row],[config]],2),"GEQm5","LEQm4")</f>
        <v>GEQm5</v>
      </c>
      <c r="H85" s="4" t="str">
        <f>IF("M5"=RIGHT(Table1[[#This Row],[config]],2),LEFT(Table1[[#This Row],[config]],LEN(Table1[[#This Row],[config]])-2),Table1[[#This Row],[config]])</f>
        <v>EXTE</v>
      </c>
    </row>
    <row r="86" spans="1:8" x14ac:dyDescent="0.25">
      <c r="A86" s="1" t="s">
        <v>4</v>
      </c>
      <c r="B86">
        <v>15</v>
      </c>
      <c r="C86" s="1" t="s">
        <v>14</v>
      </c>
      <c r="D86" s="1" t="s">
        <v>28</v>
      </c>
      <c r="E86" t="str">
        <f>LEFT(Table1[[#This Row],[target]],FIND("|",Table1[[#This Row],[target]])-1)</f>
        <v>EXTEM5</v>
      </c>
      <c r="F86" t="str">
        <f>RIGHT(Table1[[#This Row],[target]],LEN(Table1[[#This Row],[target]])-FIND("|",Table1[[#This Row],[target]]))</f>
        <v>x64</v>
      </c>
      <c r="G86" t="str">
        <f>IF("M5"=RIGHT(Table1[[#This Row],[config]],2),"GEQm5","LEQm4")</f>
        <v>GEQm5</v>
      </c>
      <c r="H86" s="4" t="str">
        <f>IF("M5"=RIGHT(Table1[[#This Row],[config]],2),LEFT(Table1[[#This Row],[config]],LEN(Table1[[#This Row],[config]])-2),Table1[[#This Row],[config]])</f>
        <v>EXTE</v>
      </c>
    </row>
    <row r="87" spans="1:8" x14ac:dyDescent="0.25">
      <c r="A87" s="1" t="s">
        <v>4</v>
      </c>
      <c r="B87">
        <v>15</v>
      </c>
      <c r="C87" s="1" t="s">
        <v>14</v>
      </c>
      <c r="D87" s="1" t="s">
        <v>75</v>
      </c>
      <c r="E87" t="str">
        <f>LEFT(Table1[[#This Row],[target]],FIND("|",Table1[[#This Row],[target]])-1)</f>
        <v>EXTEM5</v>
      </c>
      <c r="F87" t="str">
        <f>RIGHT(Table1[[#This Row],[target]],LEN(Table1[[#This Row],[target]])-FIND("|",Table1[[#This Row],[target]]))</f>
        <v>x64</v>
      </c>
      <c r="G87" t="str">
        <f>IF("M5"=RIGHT(Table1[[#This Row],[config]],2),"GEQm5","LEQm4")</f>
        <v>GEQm5</v>
      </c>
      <c r="H87" s="4" t="str">
        <f>IF("M5"=RIGHT(Table1[[#This Row],[config]],2),LEFT(Table1[[#This Row],[config]],LEN(Table1[[#This Row],[config]])-2),Table1[[#This Row],[config]])</f>
        <v>EXTE</v>
      </c>
    </row>
    <row r="88" spans="1:8" x14ac:dyDescent="0.25">
      <c r="A88" s="1" t="s">
        <v>4</v>
      </c>
      <c r="B88">
        <v>15</v>
      </c>
      <c r="C88" s="1" t="s">
        <v>14</v>
      </c>
      <c r="D88" s="1" t="s">
        <v>78</v>
      </c>
      <c r="E88" t="str">
        <f>LEFT(Table1[[#This Row],[target]],FIND("|",Table1[[#This Row],[target]])-1)</f>
        <v>EXTEM5</v>
      </c>
      <c r="F88" t="str">
        <f>RIGHT(Table1[[#This Row],[target]],LEN(Table1[[#This Row],[target]])-FIND("|",Table1[[#This Row],[target]]))</f>
        <v>x64</v>
      </c>
      <c r="G88" t="str">
        <f>IF("M5"=RIGHT(Table1[[#This Row],[config]],2),"GEQm5","LEQm4")</f>
        <v>GEQm5</v>
      </c>
      <c r="H88" s="4" t="str">
        <f>IF("M5"=RIGHT(Table1[[#This Row],[config]],2),LEFT(Table1[[#This Row],[config]],LEN(Table1[[#This Row],[config]])-2),Table1[[#This Row],[config]])</f>
        <v>EXTE</v>
      </c>
    </row>
    <row r="89" spans="1:8" x14ac:dyDescent="0.25">
      <c r="A89" s="1" t="s">
        <v>4</v>
      </c>
      <c r="B89">
        <v>15</v>
      </c>
      <c r="C89" s="1" t="s">
        <v>14</v>
      </c>
      <c r="D89" s="1" t="s">
        <v>79</v>
      </c>
      <c r="E89" t="str">
        <f>LEFT(Table1[[#This Row],[target]],FIND("|",Table1[[#This Row],[target]])-1)</f>
        <v>EXTEM5</v>
      </c>
      <c r="F89" t="str">
        <f>RIGHT(Table1[[#This Row],[target]],LEN(Table1[[#This Row],[target]])-FIND("|",Table1[[#This Row],[target]]))</f>
        <v>x64</v>
      </c>
      <c r="G89" t="str">
        <f>IF("M5"=RIGHT(Table1[[#This Row],[config]],2),"GEQm5","LEQm4")</f>
        <v>GEQm5</v>
      </c>
      <c r="H89" s="4" t="str">
        <f>IF("M5"=RIGHT(Table1[[#This Row],[config]],2),LEFT(Table1[[#This Row],[config]],LEN(Table1[[#This Row],[config]])-2),Table1[[#This Row],[config]])</f>
        <v>EXTE</v>
      </c>
    </row>
    <row r="90" spans="1:8" x14ac:dyDescent="0.25">
      <c r="A90" s="1" t="s">
        <v>4</v>
      </c>
      <c r="B90">
        <v>15</v>
      </c>
      <c r="C90" s="1" t="s">
        <v>24</v>
      </c>
      <c r="D90" s="1" t="s">
        <v>82</v>
      </c>
      <c r="E90" t="str">
        <f>LEFT(Table1[[#This Row],[target]],FIND("|",Table1[[#This Row],[target]])-1)</f>
        <v>EXTF</v>
      </c>
      <c r="F90" t="str">
        <f>RIGHT(Table1[[#This Row],[target]],LEN(Table1[[#This Row],[target]])-FIND("|",Table1[[#This Row],[target]]))</f>
        <v>Win32</v>
      </c>
      <c r="G90" t="str">
        <f>IF("M5"=RIGHT(Table1[[#This Row],[config]],2),"GEQm5","LEQm4")</f>
        <v>LEQm4</v>
      </c>
      <c r="H90" s="4" t="str">
        <f>IF("M5"=RIGHT(Table1[[#This Row],[config]],2),LEFT(Table1[[#This Row],[config]],LEN(Table1[[#This Row],[config]])-2),Table1[[#This Row],[config]])</f>
        <v>EXTF</v>
      </c>
    </row>
    <row r="91" spans="1:8" x14ac:dyDescent="0.25">
      <c r="A91" s="1" t="s">
        <v>4</v>
      </c>
      <c r="B91">
        <v>15</v>
      </c>
      <c r="C91" s="1" t="s">
        <v>24</v>
      </c>
      <c r="D91" s="1" t="s">
        <v>72</v>
      </c>
      <c r="E91" t="str">
        <f>LEFT(Table1[[#This Row],[target]],FIND("|",Table1[[#This Row],[target]])-1)</f>
        <v>EXTF</v>
      </c>
      <c r="F91" t="str">
        <f>RIGHT(Table1[[#This Row],[target]],LEN(Table1[[#This Row],[target]])-FIND("|",Table1[[#This Row],[target]]))</f>
        <v>Win32</v>
      </c>
      <c r="G91" t="str">
        <f>IF("M5"=RIGHT(Table1[[#This Row],[config]],2),"GEQm5","LEQm4")</f>
        <v>LEQm4</v>
      </c>
      <c r="H91" s="4" t="str">
        <f>IF("M5"=RIGHT(Table1[[#This Row],[config]],2),LEFT(Table1[[#This Row],[config]],LEN(Table1[[#This Row],[config]])-2),Table1[[#This Row],[config]])</f>
        <v>EXTF</v>
      </c>
    </row>
    <row r="92" spans="1:8" x14ac:dyDescent="0.25">
      <c r="A92" s="1" t="s">
        <v>4</v>
      </c>
      <c r="B92">
        <v>15</v>
      </c>
      <c r="C92" s="1" t="s">
        <v>24</v>
      </c>
      <c r="D92" s="1" t="s">
        <v>29</v>
      </c>
      <c r="E92" t="str">
        <f>LEFT(Table1[[#This Row],[target]],FIND("|",Table1[[#This Row],[target]])-1)</f>
        <v>EXTF</v>
      </c>
      <c r="F92" t="str">
        <f>RIGHT(Table1[[#This Row],[target]],LEN(Table1[[#This Row],[target]])-FIND("|",Table1[[#This Row],[target]]))</f>
        <v>Win32</v>
      </c>
      <c r="G92" t="str">
        <f>IF("M5"=RIGHT(Table1[[#This Row],[config]],2),"GEQm5","LEQm4")</f>
        <v>LEQm4</v>
      </c>
      <c r="H92" s="4" t="str">
        <f>IF("M5"=RIGHT(Table1[[#This Row],[config]],2),LEFT(Table1[[#This Row],[config]],LEN(Table1[[#This Row],[config]])-2),Table1[[#This Row],[config]])</f>
        <v>EXTF</v>
      </c>
    </row>
    <row r="93" spans="1:8" x14ac:dyDescent="0.25">
      <c r="A93" s="1" t="s">
        <v>4</v>
      </c>
      <c r="B93">
        <v>15</v>
      </c>
      <c r="C93" s="1" t="s">
        <v>24</v>
      </c>
      <c r="D93" s="1" t="s">
        <v>80</v>
      </c>
      <c r="E93" t="str">
        <f>LEFT(Table1[[#This Row],[target]],FIND("|",Table1[[#This Row],[target]])-1)</f>
        <v>EXTF</v>
      </c>
      <c r="F93" t="str">
        <f>RIGHT(Table1[[#This Row],[target]],LEN(Table1[[#This Row],[target]])-FIND("|",Table1[[#This Row],[target]]))</f>
        <v>Win32</v>
      </c>
      <c r="G93" t="str">
        <f>IF("M5"=RIGHT(Table1[[#This Row],[config]],2),"GEQm5","LEQm4")</f>
        <v>LEQm4</v>
      </c>
      <c r="H93" s="4" t="str">
        <f>IF("M5"=RIGHT(Table1[[#This Row],[config]],2),LEFT(Table1[[#This Row],[config]],LEN(Table1[[#This Row],[config]])-2),Table1[[#This Row],[config]])</f>
        <v>EXTF</v>
      </c>
    </row>
    <row r="94" spans="1:8" x14ac:dyDescent="0.25">
      <c r="A94" s="1" t="s">
        <v>4</v>
      </c>
      <c r="B94">
        <v>15</v>
      </c>
      <c r="C94" s="1" t="s">
        <v>24</v>
      </c>
      <c r="D94" s="1" t="s">
        <v>26</v>
      </c>
      <c r="E94" t="str">
        <f>LEFT(Table1[[#This Row],[target]],FIND("|",Table1[[#This Row],[target]])-1)</f>
        <v>EXTF</v>
      </c>
      <c r="F94" t="str">
        <f>RIGHT(Table1[[#This Row],[target]],LEN(Table1[[#This Row],[target]])-FIND("|",Table1[[#This Row],[target]]))</f>
        <v>Win32</v>
      </c>
      <c r="G94" t="str">
        <f>IF("M5"=RIGHT(Table1[[#This Row],[config]],2),"GEQm5","LEQm4")</f>
        <v>LEQm4</v>
      </c>
      <c r="H94" s="4" t="str">
        <f>IF("M5"=RIGHT(Table1[[#This Row],[config]],2),LEFT(Table1[[#This Row],[config]],LEN(Table1[[#This Row],[config]])-2),Table1[[#This Row],[config]])</f>
        <v>EXTF</v>
      </c>
    </row>
    <row r="95" spans="1:8" x14ac:dyDescent="0.25">
      <c r="A95" s="1" t="s">
        <v>4</v>
      </c>
      <c r="B95">
        <v>15</v>
      </c>
      <c r="C95" s="1" t="s">
        <v>24</v>
      </c>
      <c r="D95" s="1" t="s">
        <v>74</v>
      </c>
      <c r="E95" t="str">
        <f>LEFT(Table1[[#This Row],[target]],FIND("|",Table1[[#This Row],[target]])-1)</f>
        <v>EXTF</v>
      </c>
      <c r="F95" t="str">
        <f>RIGHT(Table1[[#This Row],[target]],LEN(Table1[[#This Row],[target]])-FIND("|",Table1[[#This Row],[target]]))</f>
        <v>Win32</v>
      </c>
      <c r="G95" t="str">
        <f>IF("M5"=RIGHT(Table1[[#This Row],[config]],2),"GEQm5","LEQm4")</f>
        <v>LEQm4</v>
      </c>
      <c r="H95" s="4" t="str">
        <f>IF("M5"=RIGHT(Table1[[#This Row],[config]],2),LEFT(Table1[[#This Row],[config]],LEN(Table1[[#This Row],[config]])-2),Table1[[#This Row],[config]])</f>
        <v>EXTF</v>
      </c>
    </row>
    <row r="96" spans="1:8" x14ac:dyDescent="0.25">
      <c r="A96" s="1" t="s">
        <v>4</v>
      </c>
      <c r="B96">
        <v>15</v>
      </c>
      <c r="C96" s="1" t="s">
        <v>24</v>
      </c>
      <c r="D96" s="1" t="s">
        <v>71</v>
      </c>
      <c r="E96" t="str">
        <f>LEFT(Table1[[#This Row],[target]],FIND("|",Table1[[#This Row],[target]])-1)</f>
        <v>EXTF</v>
      </c>
      <c r="F96" t="str">
        <f>RIGHT(Table1[[#This Row],[target]],LEN(Table1[[#This Row],[target]])-FIND("|",Table1[[#This Row],[target]]))</f>
        <v>Win32</v>
      </c>
      <c r="G96" t="str">
        <f>IF("M5"=RIGHT(Table1[[#This Row],[config]],2),"GEQm5","LEQm4")</f>
        <v>LEQm4</v>
      </c>
      <c r="H96" s="4" t="str">
        <f>IF("M5"=RIGHT(Table1[[#This Row],[config]],2),LEFT(Table1[[#This Row],[config]],LEN(Table1[[#This Row],[config]])-2),Table1[[#This Row],[config]])</f>
        <v>EXTF</v>
      </c>
    </row>
    <row r="97" spans="1:8" x14ac:dyDescent="0.25">
      <c r="A97" s="1" t="s">
        <v>4</v>
      </c>
      <c r="B97">
        <v>15</v>
      </c>
      <c r="C97" s="1" t="s">
        <v>24</v>
      </c>
      <c r="D97" s="1" t="s">
        <v>27</v>
      </c>
      <c r="E97" t="str">
        <f>LEFT(Table1[[#This Row],[target]],FIND("|",Table1[[#This Row],[target]])-1)</f>
        <v>EXTF</v>
      </c>
      <c r="F97" t="str">
        <f>RIGHT(Table1[[#This Row],[target]],LEN(Table1[[#This Row],[target]])-FIND("|",Table1[[#This Row],[target]]))</f>
        <v>Win32</v>
      </c>
      <c r="G97" t="str">
        <f>IF("M5"=RIGHT(Table1[[#This Row],[config]],2),"GEQm5","LEQm4")</f>
        <v>LEQm4</v>
      </c>
      <c r="H97" s="4" t="str">
        <f>IF("M5"=RIGHT(Table1[[#This Row],[config]],2),LEFT(Table1[[#This Row],[config]],LEN(Table1[[#This Row],[config]])-2),Table1[[#This Row],[config]])</f>
        <v>EXTF</v>
      </c>
    </row>
    <row r="98" spans="1:8" x14ac:dyDescent="0.25">
      <c r="A98" s="1" t="s">
        <v>4</v>
      </c>
      <c r="B98">
        <v>15</v>
      </c>
      <c r="C98" s="1" t="s">
        <v>24</v>
      </c>
      <c r="D98" s="1" t="s">
        <v>75</v>
      </c>
      <c r="E98" t="str">
        <f>LEFT(Table1[[#This Row],[target]],FIND("|",Table1[[#This Row],[target]])-1)</f>
        <v>EXTF</v>
      </c>
      <c r="F98" t="str">
        <f>RIGHT(Table1[[#This Row],[target]],LEN(Table1[[#This Row],[target]])-FIND("|",Table1[[#This Row],[target]]))</f>
        <v>Win32</v>
      </c>
      <c r="G98" t="str">
        <f>IF("M5"=RIGHT(Table1[[#This Row],[config]],2),"GEQm5","LEQm4")</f>
        <v>LEQm4</v>
      </c>
      <c r="H98" s="4" t="str">
        <f>IF("M5"=RIGHT(Table1[[#This Row],[config]],2),LEFT(Table1[[#This Row],[config]],LEN(Table1[[#This Row],[config]])-2),Table1[[#This Row],[config]])</f>
        <v>EXTF</v>
      </c>
    </row>
    <row r="99" spans="1:8" x14ac:dyDescent="0.25">
      <c r="A99" s="1" t="s">
        <v>4</v>
      </c>
      <c r="B99">
        <v>15</v>
      </c>
      <c r="C99" s="1" t="s">
        <v>24</v>
      </c>
      <c r="D99" s="1" t="s">
        <v>78</v>
      </c>
      <c r="E99" t="str">
        <f>LEFT(Table1[[#This Row],[target]],FIND("|",Table1[[#This Row],[target]])-1)</f>
        <v>EXTF</v>
      </c>
      <c r="F99" t="str">
        <f>RIGHT(Table1[[#This Row],[target]],LEN(Table1[[#This Row],[target]])-FIND("|",Table1[[#This Row],[target]]))</f>
        <v>Win32</v>
      </c>
      <c r="G99" t="str">
        <f>IF("M5"=RIGHT(Table1[[#This Row],[config]],2),"GEQm5","LEQm4")</f>
        <v>LEQm4</v>
      </c>
      <c r="H99" s="4" t="str">
        <f>IF("M5"=RIGHT(Table1[[#This Row],[config]],2),LEFT(Table1[[#This Row],[config]],LEN(Table1[[#This Row],[config]])-2),Table1[[#This Row],[config]])</f>
        <v>EXTF</v>
      </c>
    </row>
    <row r="100" spans="1:8" x14ac:dyDescent="0.25">
      <c r="A100" s="1" t="s">
        <v>4</v>
      </c>
      <c r="B100">
        <v>15</v>
      </c>
      <c r="C100" s="1" t="s">
        <v>24</v>
      </c>
      <c r="D100" s="1" t="s">
        <v>79</v>
      </c>
      <c r="E100" t="str">
        <f>LEFT(Table1[[#This Row],[target]],FIND("|",Table1[[#This Row],[target]])-1)</f>
        <v>EXTF</v>
      </c>
      <c r="F100" t="str">
        <f>RIGHT(Table1[[#This Row],[target]],LEN(Table1[[#This Row],[target]])-FIND("|",Table1[[#This Row],[target]]))</f>
        <v>Win32</v>
      </c>
      <c r="G100" t="str">
        <f>IF("M5"=RIGHT(Table1[[#This Row],[config]],2),"GEQm5","LEQm4")</f>
        <v>LEQm4</v>
      </c>
      <c r="H100" s="4" t="str">
        <f>IF("M5"=RIGHT(Table1[[#This Row],[config]],2),LEFT(Table1[[#This Row],[config]],LEN(Table1[[#This Row],[config]])-2),Table1[[#This Row],[config]])</f>
        <v>EXTF</v>
      </c>
    </row>
    <row r="101" spans="1:8" x14ac:dyDescent="0.25">
      <c r="A101" s="1" t="s">
        <v>4</v>
      </c>
      <c r="B101">
        <v>15</v>
      </c>
      <c r="C101" s="1" t="s">
        <v>21</v>
      </c>
      <c r="D101" s="1" t="s">
        <v>82</v>
      </c>
      <c r="E101" t="str">
        <f>LEFT(Table1[[#This Row],[target]],FIND("|",Table1[[#This Row],[target]])-1)</f>
        <v>EXTF</v>
      </c>
      <c r="F101" t="str">
        <f>RIGHT(Table1[[#This Row],[target]],LEN(Table1[[#This Row],[target]])-FIND("|",Table1[[#This Row],[target]]))</f>
        <v>x64</v>
      </c>
      <c r="G101" t="str">
        <f>IF("M5"=RIGHT(Table1[[#This Row],[config]],2),"GEQm5","LEQm4")</f>
        <v>LEQm4</v>
      </c>
      <c r="H101" s="4" t="str">
        <f>IF("M5"=RIGHT(Table1[[#This Row],[config]],2),LEFT(Table1[[#This Row],[config]],LEN(Table1[[#This Row],[config]])-2),Table1[[#This Row],[config]])</f>
        <v>EXTF</v>
      </c>
    </row>
    <row r="102" spans="1:8" x14ac:dyDescent="0.25">
      <c r="A102" s="1" t="s">
        <v>4</v>
      </c>
      <c r="B102">
        <v>15</v>
      </c>
      <c r="C102" s="1" t="s">
        <v>21</v>
      </c>
      <c r="D102" s="1" t="s">
        <v>72</v>
      </c>
      <c r="E102" t="str">
        <f>LEFT(Table1[[#This Row],[target]],FIND("|",Table1[[#This Row],[target]])-1)</f>
        <v>EXTF</v>
      </c>
      <c r="F102" t="str">
        <f>RIGHT(Table1[[#This Row],[target]],LEN(Table1[[#This Row],[target]])-FIND("|",Table1[[#This Row],[target]]))</f>
        <v>x64</v>
      </c>
      <c r="G102" t="str">
        <f>IF("M5"=RIGHT(Table1[[#This Row],[config]],2),"GEQm5","LEQm4")</f>
        <v>LEQm4</v>
      </c>
      <c r="H102" s="4" t="str">
        <f>IF("M5"=RIGHT(Table1[[#This Row],[config]],2),LEFT(Table1[[#This Row],[config]],LEN(Table1[[#This Row],[config]])-2),Table1[[#This Row],[config]])</f>
        <v>EXTF</v>
      </c>
    </row>
    <row r="103" spans="1:8" x14ac:dyDescent="0.25">
      <c r="A103" s="1" t="s">
        <v>4</v>
      </c>
      <c r="B103">
        <v>15</v>
      </c>
      <c r="C103" s="1" t="s">
        <v>21</v>
      </c>
      <c r="D103" s="1" t="s">
        <v>29</v>
      </c>
      <c r="E103" t="str">
        <f>LEFT(Table1[[#This Row],[target]],FIND("|",Table1[[#This Row],[target]])-1)</f>
        <v>EXTF</v>
      </c>
      <c r="F103" t="str">
        <f>RIGHT(Table1[[#This Row],[target]],LEN(Table1[[#This Row],[target]])-FIND("|",Table1[[#This Row],[target]]))</f>
        <v>x64</v>
      </c>
      <c r="G103" t="str">
        <f>IF("M5"=RIGHT(Table1[[#This Row],[config]],2),"GEQm5","LEQm4")</f>
        <v>LEQm4</v>
      </c>
      <c r="H103" s="4" t="str">
        <f>IF("M5"=RIGHT(Table1[[#This Row],[config]],2),LEFT(Table1[[#This Row],[config]],LEN(Table1[[#This Row],[config]])-2),Table1[[#This Row],[config]])</f>
        <v>EXTF</v>
      </c>
    </row>
    <row r="104" spans="1:8" x14ac:dyDescent="0.25">
      <c r="A104" s="1" t="s">
        <v>4</v>
      </c>
      <c r="B104">
        <v>15</v>
      </c>
      <c r="C104" s="1" t="s">
        <v>21</v>
      </c>
      <c r="D104" s="1" t="s">
        <v>80</v>
      </c>
      <c r="E104" t="str">
        <f>LEFT(Table1[[#This Row],[target]],FIND("|",Table1[[#This Row],[target]])-1)</f>
        <v>EXTF</v>
      </c>
      <c r="F104" t="str">
        <f>RIGHT(Table1[[#This Row],[target]],LEN(Table1[[#This Row],[target]])-FIND("|",Table1[[#This Row],[target]]))</f>
        <v>x64</v>
      </c>
      <c r="G104" t="str">
        <f>IF("M5"=RIGHT(Table1[[#This Row],[config]],2),"GEQm5","LEQm4")</f>
        <v>LEQm4</v>
      </c>
      <c r="H104" s="4" t="str">
        <f>IF("M5"=RIGHT(Table1[[#This Row],[config]],2),LEFT(Table1[[#This Row],[config]],LEN(Table1[[#This Row],[config]])-2),Table1[[#This Row],[config]])</f>
        <v>EXTF</v>
      </c>
    </row>
    <row r="105" spans="1:8" x14ac:dyDescent="0.25">
      <c r="A105" s="1" t="s">
        <v>4</v>
      </c>
      <c r="B105">
        <v>15</v>
      </c>
      <c r="C105" s="1" t="s">
        <v>21</v>
      </c>
      <c r="D105" s="1" t="s">
        <v>26</v>
      </c>
      <c r="E105" t="str">
        <f>LEFT(Table1[[#This Row],[target]],FIND("|",Table1[[#This Row],[target]])-1)</f>
        <v>EXTF</v>
      </c>
      <c r="F105" t="str">
        <f>RIGHT(Table1[[#This Row],[target]],LEN(Table1[[#This Row],[target]])-FIND("|",Table1[[#This Row],[target]]))</f>
        <v>x64</v>
      </c>
      <c r="G105" t="str">
        <f>IF("M5"=RIGHT(Table1[[#This Row],[config]],2),"GEQm5","LEQm4")</f>
        <v>LEQm4</v>
      </c>
      <c r="H105" s="4" t="str">
        <f>IF("M5"=RIGHT(Table1[[#This Row],[config]],2),LEFT(Table1[[#This Row],[config]],LEN(Table1[[#This Row],[config]])-2),Table1[[#This Row],[config]])</f>
        <v>EXTF</v>
      </c>
    </row>
    <row r="106" spans="1:8" x14ac:dyDescent="0.25">
      <c r="A106" s="1" t="s">
        <v>4</v>
      </c>
      <c r="B106">
        <v>15</v>
      </c>
      <c r="C106" s="1" t="s">
        <v>21</v>
      </c>
      <c r="D106" s="1" t="s">
        <v>73</v>
      </c>
      <c r="E106" t="str">
        <f>LEFT(Table1[[#This Row],[target]],FIND("|",Table1[[#This Row],[target]])-1)</f>
        <v>EXTF</v>
      </c>
      <c r="F106" t="str">
        <f>RIGHT(Table1[[#This Row],[target]],LEN(Table1[[#This Row],[target]])-FIND("|",Table1[[#This Row],[target]]))</f>
        <v>x64</v>
      </c>
      <c r="G106" t="str">
        <f>IF("M5"=RIGHT(Table1[[#This Row],[config]],2),"GEQm5","LEQm4")</f>
        <v>LEQm4</v>
      </c>
      <c r="H106" s="4" t="str">
        <f>IF("M5"=RIGHT(Table1[[#This Row],[config]],2),LEFT(Table1[[#This Row],[config]],LEN(Table1[[#This Row],[config]])-2),Table1[[#This Row],[config]])</f>
        <v>EXTF</v>
      </c>
    </row>
    <row r="107" spans="1:8" x14ac:dyDescent="0.25">
      <c r="A107" s="1" t="s">
        <v>4</v>
      </c>
      <c r="B107">
        <v>15</v>
      </c>
      <c r="C107" s="1" t="s">
        <v>21</v>
      </c>
      <c r="D107" s="1" t="s">
        <v>71</v>
      </c>
      <c r="E107" t="str">
        <f>LEFT(Table1[[#This Row],[target]],FIND("|",Table1[[#This Row],[target]])-1)</f>
        <v>EXTF</v>
      </c>
      <c r="F107" t="str">
        <f>RIGHT(Table1[[#This Row],[target]],LEN(Table1[[#This Row],[target]])-FIND("|",Table1[[#This Row],[target]]))</f>
        <v>x64</v>
      </c>
      <c r="G107" t="str">
        <f>IF("M5"=RIGHT(Table1[[#This Row],[config]],2),"GEQm5","LEQm4")</f>
        <v>LEQm4</v>
      </c>
      <c r="H107" s="4" t="str">
        <f>IF("M5"=RIGHT(Table1[[#This Row],[config]],2),LEFT(Table1[[#This Row],[config]],LEN(Table1[[#This Row],[config]])-2),Table1[[#This Row],[config]])</f>
        <v>EXTF</v>
      </c>
    </row>
    <row r="108" spans="1:8" x14ac:dyDescent="0.25">
      <c r="A108" s="1" t="s">
        <v>4</v>
      </c>
      <c r="B108">
        <v>15</v>
      </c>
      <c r="C108" s="1" t="s">
        <v>21</v>
      </c>
      <c r="D108" s="1" t="s">
        <v>27</v>
      </c>
      <c r="E108" t="str">
        <f>LEFT(Table1[[#This Row],[target]],FIND("|",Table1[[#This Row],[target]])-1)</f>
        <v>EXTF</v>
      </c>
      <c r="F108" t="str">
        <f>RIGHT(Table1[[#This Row],[target]],LEN(Table1[[#This Row],[target]])-FIND("|",Table1[[#This Row],[target]]))</f>
        <v>x64</v>
      </c>
      <c r="G108" t="str">
        <f>IF("M5"=RIGHT(Table1[[#This Row],[config]],2),"GEQm5","LEQm4")</f>
        <v>LEQm4</v>
      </c>
      <c r="H108" s="4" t="str">
        <f>IF("M5"=RIGHT(Table1[[#This Row],[config]],2),LEFT(Table1[[#This Row],[config]],LEN(Table1[[#This Row],[config]])-2),Table1[[#This Row],[config]])</f>
        <v>EXTF</v>
      </c>
    </row>
    <row r="109" spans="1:8" x14ac:dyDescent="0.25">
      <c r="A109" s="1" t="s">
        <v>4</v>
      </c>
      <c r="B109">
        <v>15</v>
      </c>
      <c r="C109" s="1" t="s">
        <v>21</v>
      </c>
      <c r="D109" s="1" t="s">
        <v>75</v>
      </c>
      <c r="E109" t="str">
        <f>LEFT(Table1[[#This Row],[target]],FIND("|",Table1[[#This Row],[target]])-1)</f>
        <v>EXTF</v>
      </c>
      <c r="F109" t="str">
        <f>RIGHT(Table1[[#This Row],[target]],LEN(Table1[[#This Row],[target]])-FIND("|",Table1[[#This Row],[target]]))</f>
        <v>x64</v>
      </c>
      <c r="G109" t="str">
        <f>IF("M5"=RIGHT(Table1[[#This Row],[config]],2),"GEQm5","LEQm4")</f>
        <v>LEQm4</v>
      </c>
      <c r="H109" s="4" t="str">
        <f>IF("M5"=RIGHT(Table1[[#This Row],[config]],2),LEFT(Table1[[#This Row],[config]],LEN(Table1[[#This Row],[config]])-2),Table1[[#This Row],[config]])</f>
        <v>EXTF</v>
      </c>
    </row>
    <row r="110" spans="1:8" x14ac:dyDescent="0.25">
      <c r="A110" s="1" t="s">
        <v>4</v>
      </c>
      <c r="B110">
        <v>15</v>
      </c>
      <c r="C110" s="1" t="s">
        <v>21</v>
      </c>
      <c r="D110" s="1" t="s">
        <v>78</v>
      </c>
      <c r="E110" t="str">
        <f>LEFT(Table1[[#This Row],[target]],FIND("|",Table1[[#This Row],[target]])-1)</f>
        <v>EXTF</v>
      </c>
      <c r="F110" t="str">
        <f>RIGHT(Table1[[#This Row],[target]],LEN(Table1[[#This Row],[target]])-FIND("|",Table1[[#This Row],[target]]))</f>
        <v>x64</v>
      </c>
      <c r="G110" t="str">
        <f>IF("M5"=RIGHT(Table1[[#This Row],[config]],2),"GEQm5","LEQm4")</f>
        <v>LEQm4</v>
      </c>
      <c r="H110" s="4" t="str">
        <f>IF("M5"=RIGHT(Table1[[#This Row],[config]],2),LEFT(Table1[[#This Row],[config]],LEN(Table1[[#This Row],[config]])-2),Table1[[#This Row],[config]])</f>
        <v>EXTF</v>
      </c>
    </row>
    <row r="111" spans="1:8" x14ac:dyDescent="0.25">
      <c r="A111" s="1" t="s">
        <v>4</v>
      </c>
      <c r="B111">
        <v>15</v>
      </c>
      <c r="C111" s="1" t="s">
        <v>21</v>
      </c>
      <c r="D111" s="1" t="s">
        <v>79</v>
      </c>
      <c r="E111" t="str">
        <f>LEFT(Table1[[#This Row],[target]],FIND("|",Table1[[#This Row],[target]])-1)</f>
        <v>EXTF</v>
      </c>
      <c r="F111" t="str">
        <f>RIGHT(Table1[[#This Row],[target]],LEN(Table1[[#This Row],[target]])-FIND("|",Table1[[#This Row],[target]]))</f>
        <v>x64</v>
      </c>
      <c r="G111" t="str">
        <f>IF("M5"=RIGHT(Table1[[#This Row],[config]],2),"GEQm5","LEQm4")</f>
        <v>LEQm4</v>
      </c>
      <c r="H111" s="4" t="str">
        <f>IF("M5"=RIGHT(Table1[[#This Row],[config]],2),LEFT(Table1[[#This Row],[config]],LEN(Table1[[#This Row],[config]])-2),Table1[[#This Row],[config]])</f>
        <v>EXTF</v>
      </c>
    </row>
    <row r="112" spans="1:8" x14ac:dyDescent="0.25">
      <c r="A112" s="1" t="s">
        <v>4</v>
      </c>
      <c r="B112">
        <v>15</v>
      </c>
      <c r="C112" s="1" t="s">
        <v>20</v>
      </c>
      <c r="D112" s="1" t="s">
        <v>82</v>
      </c>
      <c r="E112" t="str">
        <f>LEFT(Table1[[#This Row],[target]],FIND("|",Table1[[#This Row],[target]])-1)</f>
        <v>EXTFM5</v>
      </c>
      <c r="F112" t="str">
        <f>RIGHT(Table1[[#This Row],[target]],LEN(Table1[[#This Row],[target]])-FIND("|",Table1[[#This Row],[target]]))</f>
        <v>Win32</v>
      </c>
      <c r="G112" t="str">
        <f>IF("M5"=RIGHT(Table1[[#This Row],[config]],2),"GEQm5","LEQm4")</f>
        <v>GEQm5</v>
      </c>
      <c r="H112" s="4" t="str">
        <f>IF("M5"=RIGHT(Table1[[#This Row],[config]],2),LEFT(Table1[[#This Row],[config]],LEN(Table1[[#This Row],[config]])-2),Table1[[#This Row],[config]])</f>
        <v>EXTF</v>
      </c>
    </row>
    <row r="113" spans="1:8" x14ac:dyDescent="0.25">
      <c r="A113" s="1" t="s">
        <v>4</v>
      </c>
      <c r="B113">
        <v>15</v>
      </c>
      <c r="C113" s="1" t="s">
        <v>20</v>
      </c>
      <c r="D113" s="1" t="s">
        <v>72</v>
      </c>
      <c r="E113" t="str">
        <f>LEFT(Table1[[#This Row],[target]],FIND("|",Table1[[#This Row],[target]])-1)</f>
        <v>EXTFM5</v>
      </c>
      <c r="F113" t="str">
        <f>RIGHT(Table1[[#This Row],[target]],LEN(Table1[[#This Row],[target]])-FIND("|",Table1[[#This Row],[target]]))</f>
        <v>Win32</v>
      </c>
      <c r="G113" t="str">
        <f>IF("M5"=RIGHT(Table1[[#This Row],[config]],2),"GEQm5","LEQm4")</f>
        <v>GEQm5</v>
      </c>
      <c r="H113" s="4" t="str">
        <f>IF("M5"=RIGHT(Table1[[#This Row],[config]],2),LEFT(Table1[[#This Row],[config]],LEN(Table1[[#This Row],[config]])-2),Table1[[#This Row],[config]])</f>
        <v>EXTF</v>
      </c>
    </row>
    <row r="114" spans="1:8" x14ac:dyDescent="0.25">
      <c r="A114" s="1" t="s">
        <v>4</v>
      </c>
      <c r="B114">
        <v>15</v>
      </c>
      <c r="C114" s="1" t="s">
        <v>20</v>
      </c>
      <c r="D114" s="1" t="s">
        <v>29</v>
      </c>
      <c r="E114" t="str">
        <f>LEFT(Table1[[#This Row],[target]],FIND("|",Table1[[#This Row],[target]])-1)</f>
        <v>EXTFM5</v>
      </c>
      <c r="F114" t="str">
        <f>RIGHT(Table1[[#This Row],[target]],LEN(Table1[[#This Row],[target]])-FIND("|",Table1[[#This Row],[target]]))</f>
        <v>Win32</v>
      </c>
      <c r="G114" t="str">
        <f>IF("M5"=RIGHT(Table1[[#This Row],[config]],2),"GEQm5","LEQm4")</f>
        <v>GEQm5</v>
      </c>
      <c r="H114" s="4" t="str">
        <f>IF("M5"=RIGHT(Table1[[#This Row],[config]],2),LEFT(Table1[[#This Row],[config]],LEN(Table1[[#This Row],[config]])-2),Table1[[#This Row],[config]])</f>
        <v>EXTF</v>
      </c>
    </row>
    <row r="115" spans="1:8" x14ac:dyDescent="0.25">
      <c r="A115" s="1" t="s">
        <v>4</v>
      </c>
      <c r="B115">
        <v>15</v>
      </c>
      <c r="C115" s="1" t="s">
        <v>20</v>
      </c>
      <c r="D115" s="1" t="s">
        <v>77</v>
      </c>
      <c r="E115" t="str">
        <f>LEFT(Table1[[#This Row],[target]],FIND("|",Table1[[#This Row],[target]])-1)</f>
        <v>EXTFM5</v>
      </c>
      <c r="F115" t="str">
        <f>RIGHT(Table1[[#This Row],[target]],LEN(Table1[[#This Row],[target]])-FIND("|",Table1[[#This Row],[target]]))</f>
        <v>Win32</v>
      </c>
      <c r="G115" t="str">
        <f>IF("M5"=RIGHT(Table1[[#This Row],[config]],2),"GEQm5","LEQm4")</f>
        <v>GEQm5</v>
      </c>
      <c r="H115" s="4" t="str">
        <f>IF("M5"=RIGHT(Table1[[#This Row],[config]],2),LEFT(Table1[[#This Row],[config]],LEN(Table1[[#This Row],[config]])-2),Table1[[#This Row],[config]])</f>
        <v>EXTF</v>
      </c>
    </row>
    <row r="116" spans="1:8" x14ac:dyDescent="0.25">
      <c r="A116" s="1" t="s">
        <v>4</v>
      </c>
      <c r="B116">
        <v>15</v>
      </c>
      <c r="C116" s="1" t="s">
        <v>20</v>
      </c>
      <c r="D116" s="1" t="s">
        <v>80</v>
      </c>
      <c r="E116" t="str">
        <f>LEFT(Table1[[#This Row],[target]],FIND("|",Table1[[#This Row],[target]])-1)</f>
        <v>EXTFM5</v>
      </c>
      <c r="F116" t="str">
        <f>RIGHT(Table1[[#This Row],[target]],LEN(Table1[[#This Row],[target]])-FIND("|",Table1[[#This Row],[target]]))</f>
        <v>Win32</v>
      </c>
      <c r="G116" t="str">
        <f>IF("M5"=RIGHT(Table1[[#This Row],[config]],2),"GEQm5","LEQm4")</f>
        <v>GEQm5</v>
      </c>
      <c r="H116" s="4" t="str">
        <f>IF("M5"=RIGHT(Table1[[#This Row],[config]],2),LEFT(Table1[[#This Row],[config]],LEN(Table1[[#This Row],[config]])-2),Table1[[#This Row],[config]])</f>
        <v>EXTF</v>
      </c>
    </row>
    <row r="117" spans="1:8" x14ac:dyDescent="0.25">
      <c r="A117" s="1" t="s">
        <v>4</v>
      </c>
      <c r="B117">
        <v>15</v>
      </c>
      <c r="C117" s="1" t="s">
        <v>20</v>
      </c>
      <c r="D117" s="1" t="s">
        <v>26</v>
      </c>
      <c r="E117" t="str">
        <f>LEFT(Table1[[#This Row],[target]],FIND("|",Table1[[#This Row],[target]])-1)</f>
        <v>EXTFM5</v>
      </c>
      <c r="F117" t="str">
        <f>RIGHT(Table1[[#This Row],[target]],LEN(Table1[[#This Row],[target]])-FIND("|",Table1[[#This Row],[target]]))</f>
        <v>Win32</v>
      </c>
      <c r="G117" t="str">
        <f>IF("M5"=RIGHT(Table1[[#This Row],[config]],2),"GEQm5","LEQm4")</f>
        <v>GEQm5</v>
      </c>
      <c r="H117" s="4" t="str">
        <f>IF("M5"=RIGHT(Table1[[#This Row],[config]],2),LEFT(Table1[[#This Row],[config]],LEN(Table1[[#This Row],[config]])-2),Table1[[#This Row],[config]])</f>
        <v>EXTF</v>
      </c>
    </row>
    <row r="118" spans="1:8" x14ac:dyDescent="0.25">
      <c r="A118" s="1" t="s">
        <v>4</v>
      </c>
      <c r="B118">
        <v>15</v>
      </c>
      <c r="C118" s="1" t="s">
        <v>20</v>
      </c>
      <c r="D118" s="1" t="s">
        <v>74</v>
      </c>
      <c r="E118" t="str">
        <f>LEFT(Table1[[#This Row],[target]],FIND("|",Table1[[#This Row],[target]])-1)</f>
        <v>EXTFM5</v>
      </c>
      <c r="F118" t="str">
        <f>RIGHT(Table1[[#This Row],[target]],LEN(Table1[[#This Row],[target]])-FIND("|",Table1[[#This Row],[target]]))</f>
        <v>Win32</v>
      </c>
      <c r="G118" t="str">
        <f>IF("M5"=RIGHT(Table1[[#This Row],[config]],2),"GEQm5","LEQm4")</f>
        <v>GEQm5</v>
      </c>
      <c r="H118" s="4" t="str">
        <f>IF("M5"=RIGHT(Table1[[#This Row],[config]],2),LEFT(Table1[[#This Row],[config]],LEN(Table1[[#This Row],[config]])-2),Table1[[#This Row],[config]])</f>
        <v>EXTF</v>
      </c>
    </row>
    <row r="119" spans="1:8" x14ac:dyDescent="0.25">
      <c r="A119" s="1" t="s">
        <v>4</v>
      </c>
      <c r="B119">
        <v>15</v>
      </c>
      <c r="C119" s="1" t="s">
        <v>20</v>
      </c>
      <c r="D119" s="1" t="s">
        <v>70</v>
      </c>
      <c r="E119" t="str">
        <f>LEFT(Table1[[#This Row],[target]],FIND("|",Table1[[#This Row],[target]])-1)</f>
        <v>EXTFM5</v>
      </c>
      <c r="F119" t="str">
        <f>RIGHT(Table1[[#This Row],[target]],LEN(Table1[[#This Row],[target]])-FIND("|",Table1[[#This Row],[target]]))</f>
        <v>Win32</v>
      </c>
      <c r="G119" t="str">
        <f>IF("M5"=RIGHT(Table1[[#This Row],[config]],2),"GEQm5","LEQm4")</f>
        <v>GEQm5</v>
      </c>
      <c r="H119" s="4" t="str">
        <f>IF("M5"=RIGHT(Table1[[#This Row],[config]],2),LEFT(Table1[[#This Row],[config]],LEN(Table1[[#This Row],[config]])-2),Table1[[#This Row],[config]])</f>
        <v>EXTF</v>
      </c>
    </row>
    <row r="120" spans="1:8" x14ac:dyDescent="0.25">
      <c r="A120" s="1" t="s">
        <v>4</v>
      </c>
      <c r="B120">
        <v>15</v>
      </c>
      <c r="C120" s="1" t="s">
        <v>20</v>
      </c>
      <c r="D120" s="1" t="s">
        <v>28</v>
      </c>
      <c r="E120" t="str">
        <f>LEFT(Table1[[#This Row],[target]],FIND("|",Table1[[#This Row],[target]])-1)</f>
        <v>EXTFM5</v>
      </c>
      <c r="F120" t="str">
        <f>RIGHT(Table1[[#This Row],[target]],LEN(Table1[[#This Row],[target]])-FIND("|",Table1[[#This Row],[target]]))</f>
        <v>Win32</v>
      </c>
      <c r="G120" t="str">
        <f>IF("M5"=RIGHT(Table1[[#This Row],[config]],2),"GEQm5","LEQm4")</f>
        <v>GEQm5</v>
      </c>
      <c r="H120" s="4" t="str">
        <f>IF("M5"=RIGHT(Table1[[#This Row],[config]],2),LEFT(Table1[[#This Row],[config]],LEN(Table1[[#This Row],[config]])-2),Table1[[#This Row],[config]])</f>
        <v>EXTF</v>
      </c>
    </row>
    <row r="121" spans="1:8" x14ac:dyDescent="0.25">
      <c r="A121" s="1" t="s">
        <v>4</v>
      </c>
      <c r="B121">
        <v>15</v>
      </c>
      <c r="C121" s="1" t="s">
        <v>20</v>
      </c>
      <c r="D121" s="1" t="s">
        <v>75</v>
      </c>
      <c r="E121" t="str">
        <f>LEFT(Table1[[#This Row],[target]],FIND("|",Table1[[#This Row],[target]])-1)</f>
        <v>EXTFM5</v>
      </c>
      <c r="F121" t="str">
        <f>RIGHT(Table1[[#This Row],[target]],LEN(Table1[[#This Row],[target]])-FIND("|",Table1[[#This Row],[target]]))</f>
        <v>Win32</v>
      </c>
      <c r="G121" t="str">
        <f>IF("M5"=RIGHT(Table1[[#This Row],[config]],2),"GEQm5","LEQm4")</f>
        <v>GEQm5</v>
      </c>
      <c r="H121" s="4" t="str">
        <f>IF("M5"=RIGHT(Table1[[#This Row],[config]],2),LEFT(Table1[[#This Row],[config]],LEN(Table1[[#This Row],[config]])-2),Table1[[#This Row],[config]])</f>
        <v>EXTF</v>
      </c>
    </row>
    <row r="122" spans="1:8" x14ac:dyDescent="0.25">
      <c r="A122" s="1" t="s">
        <v>4</v>
      </c>
      <c r="B122">
        <v>15</v>
      </c>
      <c r="C122" s="1" t="s">
        <v>20</v>
      </c>
      <c r="D122" s="1" t="s">
        <v>78</v>
      </c>
      <c r="E122" t="str">
        <f>LEFT(Table1[[#This Row],[target]],FIND("|",Table1[[#This Row],[target]])-1)</f>
        <v>EXTFM5</v>
      </c>
      <c r="F122" t="str">
        <f>RIGHT(Table1[[#This Row],[target]],LEN(Table1[[#This Row],[target]])-FIND("|",Table1[[#This Row],[target]]))</f>
        <v>Win32</v>
      </c>
      <c r="G122" t="str">
        <f>IF("M5"=RIGHT(Table1[[#This Row],[config]],2),"GEQm5","LEQm4")</f>
        <v>GEQm5</v>
      </c>
      <c r="H122" s="4" t="str">
        <f>IF("M5"=RIGHT(Table1[[#This Row],[config]],2),LEFT(Table1[[#This Row],[config]],LEN(Table1[[#This Row],[config]])-2),Table1[[#This Row],[config]])</f>
        <v>EXTF</v>
      </c>
    </row>
    <row r="123" spans="1:8" x14ac:dyDescent="0.25">
      <c r="A123" s="1" t="s">
        <v>4</v>
      </c>
      <c r="B123">
        <v>15</v>
      </c>
      <c r="C123" s="1" t="s">
        <v>20</v>
      </c>
      <c r="D123" s="1" t="s">
        <v>79</v>
      </c>
      <c r="E123" t="str">
        <f>LEFT(Table1[[#This Row],[target]],FIND("|",Table1[[#This Row],[target]])-1)</f>
        <v>EXTFM5</v>
      </c>
      <c r="F123" t="str">
        <f>RIGHT(Table1[[#This Row],[target]],LEN(Table1[[#This Row],[target]])-FIND("|",Table1[[#This Row],[target]]))</f>
        <v>Win32</v>
      </c>
      <c r="G123" t="str">
        <f>IF("M5"=RIGHT(Table1[[#This Row],[config]],2),"GEQm5","LEQm4")</f>
        <v>GEQm5</v>
      </c>
      <c r="H123" s="4" t="str">
        <f>IF("M5"=RIGHT(Table1[[#This Row],[config]],2),LEFT(Table1[[#This Row],[config]],LEN(Table1[[#This Row],[config]])-2),Table1[[#This Row],[config]])</f>
        <v>EXTF</v>
      </c>
    </row>
    <row r="124" spans="1:8" x14ac:dyDescent="0.25">
      <c r="A124" s="1" t="s">
        <v>4</v>
      </c>
      <c r="B124">
        <v>15</v>
      </c>
      <c r="C124" s="1" t="s">
        <v>19</v>
      </c>
      <c r="D124" s="1" t="s">
        <v>82</v>
      </c>
      <c r="E124" t="str">
        <f>LEFT(Table1[[#This Row],[target]],FIND("|",Table1[[#This Row],[target]])-1)</f>
        <v>EXTFM5</v>
      </c>
      <c r="F124" t="str">
        <f>RIGHT(Table1[[#This Row],[target]],LEN(Table1[[#This Row],[target]])-FIND("|",Table1[[#This Row],[target]]))</f>
        <v>x64</v>
      </c>
      <c r="G124" t="str">
        <f>IF("M5"=RIGHT(Table1[[#This Row],[config]],2),"GEQm5","LEQm4")</f>
        <v>GEQm5</v>
      </c>
      <c r="H124" s="4" t="str">
        <f>IF("M5"=RIGHT(Table1[[#This Row],[config]],2),LEFT(Table1[[#This Row],[config]],LEN(Table1[[#This Row],[config]])-2),Table1[[#This Row],[config]])</f>
        <v>EXTF</v>
      </c>
    </row>
    <row r="125" spans="1:8" x14ac:dyDescent="0.25">
      <c r="A125" s="1" t="s">
        <v>4</v>
      </c>
      <c r="B125">
        <v>15</v>
      </c>
      <c r="C125" s="1" t="s">
        <v>19</v>
      </c>
      <c r="D125" s="1" t="s">
        <v>72</v>
      </c>
      <c r="E125" t="str">
        <f>LEFT(Table1[[#This Row],[target]],FIND("|",Table1[[#This Row],[target]])-1)</f>
        <v>EXTFM5</v>
      </c>
      <c r="F125" t="str">
        <f>RIGHT(Table1[[#This Row],[target]],LEN(Table1[[#This Row],[target]])-FIND("|",Table1[[#This Row],[target]]))</f>
        <v>x64</v>
      </c>
      <c r="G125" t="str">
        <f>IF("M5"=RIGHT(Table1[[#This Row],[config]],2),"GEQm5","LEQm4")</f>
        <v>GEQm5</v>
      </c>
      <c r="H125" s="4" t="str">
        <f>IF("M5"=RIGHT(Table1[[#This Row],[config]],2),LEFT(Table1[[#This Row],[config]],LEN(Table1[[#This Row],[config]])-2),Table1[[#This Row],[config]])</f>
        <v>EXTF</v>
      </c>
    </row>
    <row r="126" spans="1:8" x14ac:dyDescent="0.25">
      <c r="A126" s="1" t="s">
        <v>4</v>
      </c>
      <c r="B126">
        <v>15</v>
      </c>
      <c r="C126" s="1" t="s">
        <v>19</v>
      </c>
      <c r="D126" s="1" t="s">
        <v>29</v>
      </c>
      <c r="E126" t="str">
        <f>LEFT(Table1[[#This Row],[target]],FIND("|",Table1[[#This Row],[target]])-1)</f>
        <v>EXTFM5</v>
      </c>
      <c r="F126" t="str">
        <f>RIGHT(Table1[[#This Row],[target]],LEN(Table1[[#This Row],[target]])-FIND("|",Table1[[#This Row],[target]]))</f>
        <v>x64</v>
      </c>
      <c r="G126" t="str">
        <f>IF("M5"=RIGHT(Table1[[#This Row],[config]],2),"GEQm5","LEQm4")</f>
        <v>GEQm5</v>
      </c>
      <c r="H126" s="4" t="str">
        <f>IF("M5"=RIGHT(Table1[[#This Row],[config]],2),LEFT(Table1[[#This Row],[config]],LEN(Table1[[#This Row],[config]])-2),Table1[[#This Row],[config]])</f>
        <v>EXTF</v>
      </c>
    </row>
    <row r="127" spans="1:8" x14ac:dyDescent="0.25">
      <c r="A127" s="1" t="s">
        <v>4</v>
      </c>
      <c r="B127">
        <v>15</v>
      </c>
      <c r="C127" s="1" t="s">
        <v>19</v>
      </c>
      <c r="D127" s="1" t="s">
        <v>77</v>
      </c>
      <c r="E127" t="str">
        <f>LEFT(Table1[[#This Row],[target]],FIND("|",Table1[[#This Row],[target]])-1)</f>
        <v>EXTFM5</v>
      </c>
      <c r="F127" t="str">
        <f>RIGHT(Table1[[#This Row],[target]],LEN(Table1[[#This Row],[target]])-FIND("|",Table1[[#This Row],[target]]))</f>
        <v>x64</v>
      </c>
      <c r="G127" t="str">
        <f>IF("M5"=RIGHT(Table1[[#This Row],[config]],2),"GEQm5","LEQm4")</f>
        <v>GEQm5</v>
      </c>
      <c r="H127" s="4" t="str">
        <f>IF("M5"=RIGHT(Table1[[#This Row],[config]],2),LEFT(Table1[[#This Row],[config]],LEN(Table1[[#This Row],[config]])-2),Table1[[#This Row],[config]])</f>
        <v>EXTF</v>
      </c>
    </row>
    <row r="128" spans="1:8" x14ac:dyDescent="0.25">
      <c r="A128" s="1" t="s">
        <v>4</v>
      </c>
      <c r="B128">
        <v>15</v>
      </c>
      <c r="C128" s="1" t="s">
        <v>19</v>
      </c>
      <c r="D128" s="1" t="s">
        <v>80</v>
      </c>
      <c r="E128" t="str">
        <f>LEFT(Table1[[#This Row],[target]],FIND("|",Table1[[#This Row],[target]])-1)</f>
        <v>EXTFM5</v>
      </c>
      <c r="F128" t="str">
        <f>RIGHT(Table1[[#This Row],[target]],LEN(Table1[[#This Row],[target]])-FIND("|",Table1[[#This Row],[target]]))</f>
        <v>x64</v>
      </c>
      <c r="G128" t="str">
        <f>IF("M5"=RIGHT(Table1[[#This Row],[config]],2),"GEQm5","LEQm4")</f>
        <v>GEQm5</v>
      </c>
      <c r="H128" s="4" t="str">
        <f>IF("M5"=RIGHT(Table1[[#This Row],[config]],2),LEFT(Table1[[#This Row],[config]],LEN(Table1[[#This Row],[config]])-2),Table1[[#This Row],[config]])</f>
        <v>EXTF</v>
      </c>
    </row>
    <row r="129" spans="1:8" x14ac:dyDescent="0.25">
      <c r="A129" s="1" t="s">
        <v>4</v>
      </c>
      <c r="B129">
        <v>15</v>
      </c>
      <c r="C129" s="1" t="s">
        <v>19</v>
      </c>
      <c r="D129" s="1" t="s">
        <v>26</v>
      </c>
      <c r="E129" t="str">
        <f>LEFT(Table1[[#This Row],[target]],FIND("|",Table1[[#This Row],[target]])-1)</f>
        <v>EXTFM5</v>
      </c>
      <c r="F129" t="str">
        <f>RIGHT(Table1[[#This Row],[target]],LEN(Table1[[#This Row],[target]])-FIND("|",Table1[[#This Row],[target]]))</f>
        <v>x64</v>
      </c>
      <c r="G129" t="str">
        <f>IF("M5"=RIGHT(Table1[[#This Row],[config]],2),"GEQm5","LEQm4")</f>
        <v>GEQm5</v>
      </c>
      <c r="H129" s="4" t="str">
        <f>IF("M5"=RIGHT(Table1[[#This Row],[config]],2),LEFT(Table1[[#This Row],[config]],LEN(Table1[[#This Row],[config]])-2),Table1[[#This Row],[config]])</f>
        <v>EXTF</v>
      </c>
    </row>
    <row r="130" spans="1:8" x14ac:dyDescent="0.25">
      <c r="A130" s="1" t="s">
        <v>4</v>
      </c>
      <c r="B130">
        <v>15</v>
      </c>
      <c r="C130" s="1" t="s">
        <v>19</v>
      </c>
      <c r="D130" s="1" t="s">
        <v>73</v>
      </c>
      <c r="E130" t="str">
        <f>LEFT(Table1[[#This Row],[target]],FIND("|",Table1[[#This Row],[target]])-1)</f>
        <v>EXTFM5</v>
      </c>
      <c r="F130" t="str">
        <f>RIGHT(Table1[[#This Row],[target]],LEN(Table1[[#This Row],[target]])-FIND("|",Table1[[#This Row],[target]]))</f>
        <v>x64</v>
      </c>
      <c r="G130" t="str">
        <f>IF("M5"=RIGHT(Table1[[#This Row],[config]],2),"GEQm5","LEQm4")</f>
        <v>GEQm5</v>
      </c>
      <c r="H130" s="4" t="str">
        <f>IF("M5"=RIGHT(Table1[[#This Row],[config]],2),LEFT(Table1[[#This Row],[config]],LEN(Table1[[#This Row],[config]])-2),Table1[[#This Row],[config]])</f>
        <v>EXTF</v>
      </c>
    </row>
    <row r="131" spans="1:8" x14ac:dyDescent="0.25">
      <c r="A131" s="1" t="s">
        <v>4</v>
      </c>
      <c r="B131">
        <v>15</v>
      </c>
      <c r="C131" s="1" t="s">
        <v>19</v>
      </c>
      <c r="D131" s="1" t="s">
        <v>70</v>
      </c>
      <c r="E131" t="str">
        <f>LEFT(Table1[[#This Row],[target]],FIND("|",Table1[[#This Row],[target]])-1)</f>
        <v>EXTFM5</v>
      </c>
      <c r="F131" t="str">
        <f>RIGHT(Table1[[#This Row],[target]],LEN(Table1[[#This Row],[target]])-FIND("|",Table1[[#This Row],[target]]))</f>
        <v>x64</v>
      </c>
      <c r="G131" t="str">
        <f>IF("M5"=RIGHT(Table1[[#This Row],[config]],2),"GEQm5","LEQm4")</f>
        <v>GEQm5</v>
      </c>
      <c r="H131" s="4" t="str">
        <f>IF("M5"=RIGHT(Table1[[#This Row],[config]],2),LEFT(Table1[[#This Row],[config]],LEN(Table1[[#This Row],[config]])-2),Table1[[#This Row],[config]])</f>
        <v>EXTF</v>
      </c>
    </row>
    <row r="132" spans="1:8" x14ac:dyDescent="0.25">
      <c r="A132" s="1" t="s">
        <v>4</v>
      </c>
      <c r="B132">
        <v>15</v>
      </c>
      <c r="C132" s="1" t="s">
        <v>19</v>
      </c>
      <c r="D132" s="1" t="s">
        <v>28</v>
      </c>
      <c r="E132" t="str">
        <f>LEFT(Table1[[#This Row],[target]],FIND("|",Table1[[#This Row],[target]])-1)</f>
        <v>EXTFM5</v>
      </c>
      <c r="F132" t="str">
        <f>RIGHT(Table1[[#This Row],[target]],LEN(Table1[[#This Row],[target]])-FIND("|",Table1[[#This Row],[target]]))</f>
        <v>x64</v>
      </c>
      <c r="G132" t="str">
        <f>IF("M5"=RIGHT(Table1[[#This Row],[config]],2),"GEQm5","LEQm4")</f>
        <v>GEQm5</v>
      </c>
      <c r="H132" s="4" t="str">
        <f>IF("M5"=RIGHT(Table1[[#This Row],[config]],2),LEFT(Table1[[#This Row],[config]],LEN(Table1[[#This Row],[config]])-2),Table1[[#This Row],[config]])</f>
        <v>EXTF</v>
      </c>
    </row>
    <row r="133" spans="1:8" x14ac:dyDescent="0.25">
      <c r="A133" s="1" t="s">
        <v>4</v>
      </c>
      <c r="B133">
        <v>15</v>
      </c>
      <c r="C133" s="1" t="s">
        <v>19</v>
      </c>
      <c r="D133" s="1" t="s">
        <v>75</v>
      </c>
      <c r="E133" t="str">
        <f>LEFT(Table1[[#This Row],[target]],FIND("|",Table1[[#This Row],[target]])-1)</f>
        <v>EXTFM5</v>
      </c>
      <c r="F133" t="str">
        <f>RIGHT(Table1[[#This Row],[target]],LEN(Table1[[#This Row],[target]])-FIND("|",Table1[[#This Row],[target]]))</f>
        <v>x64</v>
      </c>
      <c r="G133" t="str">
        <f>IF("M5"=RIGHT(Table1[[#This Row],[config]],2),"GEQm5","LEQm4")</f>
        <v>GEQm5</v>
      </c>
      <c r="H133" s="4" t="str">
        <f>IF("M5"=RIGHT(Table1[[#This Row],[config]],2),LEFT(Table1[[#This Row],[config]],LEN(Table1[[#This Row],[config]])-2),Table1[[#This Row],[config]])</f>
        <v>EXTF</v>
      </c>
    </row>
    <row r="134" spans="1:8" x14ac:dyDescent="0.25">
      <c r="A134" s="1" t="s">
        <v>4</v>
      </c>
      <c r="B134">
        <v>15</v>
      </c>
      <c r="C134" s="1" t="s">
        <v>19</v>
      </c>
      <c r="D134" s="1" t="s">
        <v>78</v>
      </c>
      <c r="E134" t="str">
        <f>LEFT(Table1[[#This Row],[target]],FIND("|",Table1[[#This Row],[target]])-1)</f>
        <v>EXTFM5</v>
      </c>
      <c r="F134" t="str">
        <f>RIGHT(Table1[[#This Row],[target]],LEN(Table1[[#This Row],[target]])-FIND("|",Table1[[#This Row],[target]]))</f>
        <v>x64</v>
      </c>
      <c r="G134" t="str">
        <f>IF("M5"=RIGHT(Table1[[#This Row],[config]],2),"GEQm5","LEQm4")</f>
        <v>GEQm5</v>
      </c>
      <c r="H134" s="4" t="str">
        <f>IF("M5"=RIGHT(Table1[[#This Row],[config]],2),LEFT(Table1[[#This Row],[config]],LEN(Table1[[#This Row],[config]])-2),Table1[[#This Row],[config]])</f>
        <v>EXTF</v>
      </c>
    </row>
    <row r="135" spans="1:8" x14ac:dyDescent="0.25">
      <c r="A135" s="1" t="s">
        <v>4</v>
      </c>
      <c r="B135">
        <v>15</v>
      </c>
      <c r="C135" s="1" t="s">
        <v>19</v>
      </c>
      <c r="D135" s="1" t="s">
        <v>79</v>
      </c>
      <c r="E135" t="str">
        <f>LEFT(Table1[[#This Row],[target]],FIND("|",Table1[[#This Row],[target]])-1)</f>
        <v>EXTFM5</v>
      </c>
      <c r="F135" t="str">
        <f>RIGHT(Table1[[#This Row],[target]],LEN(Table1[[#This Row],[target]])-FIND("|",Table1[[#This Row],[target]]))</f>
        <v>x64</v>
      </c>
      <c r="G135" t="str">
        <f>IF("M5"=RIGHT(Table1[[#This Row],[config]],2),"GEQm5","LEQm4")</f>
        <v>GEQm5</v>
      </c>
      <c r="H135" s="4" t="str">
        <f>IF("M5"=RIGHT(Table1[[#This Row],[config]],2),LEFT(Table1[[#This Row],[config]],LEN(Table1[[#This Row],[config]])-2),Table1[[#This Row],[config]])</f>
        <v>EXTF</v>
      </c>
    </row>
    <row r="136" spans="1:8" x14ac:dyDescent="0.25">
      <c r="A136" s="1" t="s">
        <v>4</v>
      </c>
      <c r="B136">
        <v>15</v>
      </c>
      <c r="C136" s="1" t="s">
        <v>6</v>
      </c>
      <c r="D136" s="1" t="s">
        <v>82</v>
      </c>
      <c r="E136" t="str">
        <f>LEFT(Table1[[#This Row],[target]],FIND("|",Table1[[#This Row],[target]])-1)</f>
        <v>STCE</v>
      </c>
      <c r="F136" t="str">
        <f>RIGHT(Table1[[#This Row],[target]],LEN(Table1[[#This Row],[target]])-FIND("|",Table1[[#This Row],[target]]))</f>
        <v>Win32</v>
      </c>
      <c r="G136" t="str">
        <f>IF("M5"=RIGHT(Table1[[#This Row],[config]],2),"GEQm5","LEQm4")</f>
        <v>LEQm4</v>
      </c>
      <c r="H136" s="4" t="str">
        <f>IF("M5"=RIGHT(Table1[[#This Row],[config]],2),LEFT(Table1[[#This Row],[config]],LEN(Table1[[#This Row],[config]])-2),Table1[[#This Row],[config]])</f>
        <v>STCE</v>
      </c>
    </row>
    <row r="137" spans="1:8" x14ac:dyDescent="0.25">
      <c r="A137" s="1" t="s">
        <v>4</v>
      </c>
      <c r="B137">
        <v>15</v>
      </c>
      <c r="C137" s="1" t="s">
        <v>6</v>
      </c>
      <c r="D137" s="1" t="s">
        <v>72</v>
      </c>
      <c r="E137" t="str">
        <f>LEFT(Table1[[#This Row],[target]],FIND("|",Table1[[#This Row],[target]])-1)</f>
        <v>STCE</v>
      </c>
      <c r="F137" t="str">
        <f>RIGHT(Table1[[#This Row],[target]],LEN(Table1[[#This Row],[target]])-FIND("|",Table1[[#This Row],[target]]))</f>
        <v>Win32</v>
      </c>
      <c r="G137" t="str">
        <f>IF("M5"=RIGHT(Table1[[#This Row],[config]],2),"GEQm5","LEQm4")</f>
        <v>LEQm4</v>
      </c>
      <c r="H137" s="4" t="str">
        <f>IF("M5"=RIGHT(Table1[[#This Row],[config]],2),LEFT(Table1[[#This Row],[config]],LEN(Table1[[#This Row],[config]])-2),Table1[[#This Row],[config]])</f>
        <v>STCE</v>
      </c>
    </row>
    <row r="138" spans="1:8" x14ac:dyDescent="0.25">
      <c r="A138" s="1" t="s">
        <v>4</v>
      </c>
      <c r="B138">
        <v>15</v>
      </c>
      <c r="C138" s="1" t="s">
        <v>6</v>
      </c>
      <c r="D138" s="1" t="s">
        <v>25</v>
      </c>
      <c r="E138" t="str">
        <f>LEFT(Table1[[#This Row],[target]],FIND("|",Table1[[#This Row],[target]])-1)</f>
        <v>STCE</v>
      </c>
      <c r="F138" t="str">
        <f>RIGHT(Table1[[#This Row],[target]],LEN(Table1[[#This Row],[target]])-FIND("|",Table1[[#This Row],[target]]))</f>
        <v>Win32</v>
      </c>
      <c r="G138" t="str">
        <f>IF("M5"=RIGHT(Table1[[#This Row],[config]],2),"GEQm5","LEQm4")</f>
        <v>LEQm4</v>
      </c>
      <c r="H138" s="4" t="str">
        <f>IF("M5"=RIGHT(Table1[[#This Row],[config]],2),LEFT(Table1[[#This Row],[config]],LEN(Table1[[#This Row],[config]])-2),Table1[[#This Row],[config]])</f>
        <v>STCE</v>
      </c>
    </row>
    <row r="139" spans="1:8" x14ac:dyDescent="0.25">
      <c r="A139" s="1" t="s">
        <v>4</v>
      </c>
      <c r="B139">
        <v>15</v>
      </c>
      <c r="C139" s="1" t="s">
        <v>6</v>
      </c>
      <c r="D139" s="1" t="s">
        <v>81</v>
      </c>
      <c r="E139" t="str">
        <f>LEFT(Table1[[#This Row],[target]],FIND("|",Table1[[#This Row],[target]])-1)</f>
        <v>STCE</v>
      </c>
      <c r="F139" t="str">
        <f>RIGHT(Table1[[#This Row],[target]],LEN(Table1[[#This Row],[target]])-FIND("|",Table1[[#This Row],[target]]))</f>
        <v>Win32</v>
      </c>
      <c r="G139" t="str">
        <f>IF("M5"=RIGHT(Table1[[#This Row],[config]],2),"GEQm5","LEQm4")</f>
        <v>LEQm4</v>
      </c>
      <c r="H139" s="4" t="str">
        <f>IF("M5"=RIGHT(Table1[[#This Row],[config]],2),LEFT(Table1[[#This Row],[config]],LEN(Table1[[#This Row],[config]])-2),Table1[[#This Row],[config]])</f>
        <v>STCE</v>
      </c>
    </row>
    <row r="140" spans="1:8" x14ac:dyDescent="0.25">
      <c r="A140" s="1" t="s">
        <v>4</v>
      </c>
      <c r="B140">
        <v>15</v>
      </c>
      <c r="C140" s="1" t="s">
        <v>6</v>
      </c>
      <c r="D140" s="1" t="s">
        <v>26</v>
      </c>
      <c r="E140" t="str">
        <f>LEFT(Table1[[#This Row],[target]],FIND("|",Table1[[#This Row],[target]])-1)</f>
        <v>STCE</v>
      </c>
      <c r="F140" t="str">
        <f>RIGHT(Table1[[#This Row],[target]],LEN(Table1[[#This Row],[target]])-FIND("|",Table1[[#This Row],[target]]))</f>
        <v>Win32</v>
      </c>
      <c r="G140" t="str">
        <f>IF("M5"=RIGHT(Table1[[#This Row],[config]],2),"GEQm5","LEQm4")</f>
        <v>LEQm4</v>
      </c>
      <c r="H140" s="4" t="str">
        <f>IF("M5"=RIGHT(Table1[[#This Row],[config]],2),LEFT(Table1[[#This Row],[config]],LEN(Table1[[#This Row],[config]])-2),Table1[[#This Row],[config]])</f>
        <v>STCE</v>
      </c>
    </row>
    <row r="141" spans="1:8" x14ac:dyDescent="0.25">
      <c r="A141" s="1" t="s">
        <v>4</v>
      </c>
      <c r="B141">
        <v>15</v>
      </c>
      <c r="C141" s="1" t="s">
        <v>6</v>
      </c>
      <c r="D141" s="1" t="s">
        <v>74</v>
      </c>
      <c r="E141" t="str">
        <f>LEFT(Table1[[#This Row],[target]],FIND("|",Table1[[#This Row],[target]])-1)</f>
        <v>STCE</v>
      </c>
      <c r="F141" t="str">
        <f>RIGHT(Table1[[#This Row],[target]],LEN(Table1[[#This Row],[target]])-FIND("|",Table1[[#This Row],[target]]))</f>
        <v>Win32</v>
      </c>
      <c r="G141" t="str">
        <f>IF("M5"=RIGHT(Table1[[#This Row],[config]],2),"GEQm5","LEQm4")</f>
        <v>LEQm4</v>
      </c>
      <c r="H141" s="4" t="str">
        <f>IF("M5"=RIGHT(Table1[[#This Row],[config]],2),LEFT(Table1[[#This Row],[config]],LEN(Table1[[#This Row],[config]])-2),Table1[[#This Row],[config]])</f>
        <v>STCE</v>
      </c>
    </row>
    <row r="142" spans="1:8" x14ac:dyDescent="0.25">
      <c r="A142" s="1" t="s">
        <v>4</v>
      </c>
      <c r="B142">
        <v>15</v>
      </c>
      <c r="C142" s="1" t="s">
        <v>6</v>
      </c>
      <c r="D142" s="1" t="s">
        <v>71</v>
      </c>
      <c r="E142" t="str">
        <f>LEFT(Table1[[#This Row],[target]],FIND("|",Table1[[#This Row],[target]])-1)</f>
        <v>STCE</v>
      </c>
      <c r="F142" t="str">
        <f>RIGHT(Table1[[#This Row],[target]],LEN(Table1[[#This Row],[target]])-FIND("|",Table1[[#This Row],[target]]))</f>
        <v>Win32</v>
      </c>
      <c r="G142" t="str">
        <f>IF("M5"=RIGHT(Table1[[#This Row],[config]],2),"GEQm5","LEQm4")</f>
        <v>LEQm4</v>
      </c>
      <c r="H142" s="4" t="str">
        <f>IF("M5"=RIGHT(Table1[[#This Row],[config]],2),LEFT(Table1[[#This Row],[config]],LEN(Table1[[#This Row],[config]])-2),Table1[[#This Row],[config]])</f>
        <v>STCE</v>
      </c>
    </row>
    <row r="143" spans="1:8" x14ac:dyDescent="0.25">
      <c r="A143" s="1" t="s">
        <v>4</v>
      </c>
      <c r="B143">
        <v>15</v>
      </c>
      <c r="C143" s="1" t="s">
        <v>6</v>
      </c>
      <c r="D143" s="1" t="s">
        <v>27</v>
      </c>
      <c r="E143" t="str">
        <f>LEFT(Table1[[#This Row],[target]],FIND("|",Table1[[#This Row],[target]])-1)</f>
        <v>STCE</v>
      </c>
      <c r="F143" t="str">
        <f>RIGHT(Table1[[#This Row],[target]],LEN(Table1[[#This Row],[target]])-FIND("|",Table1[[#This Row],[target]]))</f>
        <v>Win32</v>
      </c>
      <c r="G143" t="str">
        <f>IF("M5"=RIGHT(Table1[[#This Row],[config]],2),"GEQm5","LEQm4")</f>
        <v>LEQm4</v>
      </c>
      <c r="H143" s="4" t="str">
        <f>IF("M5"=RIGHT(Table1[[#This Row],[config]],2),LEFT(Table1[[#This Row],[config]],LEN(Table1[[#This Row],[config]])-2),Table1[[#This Row],[config]])</f>
        <v>STCE</v>
      </c>
    </row>
    <row r="144" spans="1:8" x14ac:dyDescent="0.25">
      <c r="A144" s="1" t="s">
        <v>4</v>
      </c>
      <c r="B144">
        <v>15</v>
      </c>
      <c r="C144" s="1" t="s">
        <v>6</v>
      </c>
      <c r="D144" s="1" t="s">
        <v>75</v>
      </c>
      <c r="E144" t="str">
        <f>LEFT(Table1[[#This Row],[target]],FIND("|",Table1[[#This Row],[target]])-1)</f>
        <v>STCE</v>
      </c>
      <c r="F144" t="str">
        <f>RIGHT(Table1[[#This Row],[target]],LEN(Table1[[#This Row],[target]])-FIND("|",Table1[[#This Row],[target]]))</f>
        <v>Win32</v>
      </c>
      <c r="G144" t="str">
        <f>IF("M5"=RIGHT(Table1[[#This Row],[config]],2),"GEQm5","LEQm4")</f>
        <v>LEQm4</v>
      </c>
      <c r="H144" s="4" t="str">
        <f>IF("M5"=RIGHT(Table1[[#This Row],[config]],2),LEFT(Table1[[#This Row],[config]],LEN(Table1[[#This Row],[config]])-2),Table1[[#This Row],[config]])</f>
        <v>STCE</v>
      </c>
    </row>
    <row r="145" spans="1:8" x14ac:dyDescent="0.25">
      <c r="A145" s="1" t="s">
        <v>4</v>
      </c>
      <c r="B145">
        <v>15</v>
      </c>
      <c r="C145" s="1" t="s">
        <v>6</v>
      </c>
      <c r="D145" s="1" t="s">
        <v>78</v>
      </c>
      <c r="E145" t="str">
        <f>LEFT(Table1[[#This Row],[target]],FIND("|",Table1[[#This Row],[target]])-1)</f>
        <v>STCE</v>
      </c>
      <c r="F145" t="str">
        <f>RIGHT(Table1[[#This Row],[target]],LEN(Table1[[#This Row],[target]])-FIND("|",Table1[[#This Row],[target]]))</f>
        <v>Win32</v>
      </c>
      <c r="G145" t="str">
        <f>IF("M5"=RIGHT(Table1[[#This Row],[config]],2),"GEQm5","LEQm4")</f>
        <v>LEQm4</v>
      </c>
      <c r="H145" s="4" t="str">
        <f>IF("M5"=RIGHT(Table1[[#This Row],[config]],2),LEFT(Table1[[#This Row],[config]],LEN(Table1[[#This Row],[config]])-2),Table1[[#This Row],[config]])</f>
        <v>STCE</v>
      </c>
    </row>
    <row r="146" spans="1:8" x14ac:dyDescent="0.25">
      <c r="A146" s="1" t="s">
        <v>4</v>
      </c>
      <c r="B146">
        <v>15</v>
      </c>
      <c r="C146" s="1" t="s">
        <v>6</v>
      </c>
      <c r="D146" s="1" t="s">
        <v>79</v>
      </c>
      <c r="E146" t="str">
        <f>LEFT(Table1[[#This Row],[target]],FIND("|",Table1[[#This Row],[target]])-1)</f>
        <v>STCE</v>
      </c>
      <c r="F146" t="str">
        <f>RIGHT(Table1[[#This Row],[target]],LEN(Table1[[#This Row],[target]])-FIND("|",Table1[[#This Row],[target]]))</f>
        <v>Win32</v>
      </c>
      <c r="G146" t="str">
        <f>IF("M5"=RIGHT(Table1[[#This Row],[config]],2),"GEQm5","LEQm4")</f>
        <v>LEQm4</v>
      </c>
      <c r="H146" s="4" t="str">
        <f>IF("M5"=RIGHT(Table1[[#This Row],[config]],2),LEFT(Table1[[#This Row],[config]],LEN(Table1[[#This Row],[config]])-2),Table1[[#This Row],[config]])</f>
        <v>STCE</v>
      </c>
    </row>
    <row r="147" spans="1:8" x14ac:dyDescent="0.25">
      <c r="A147" s="1" t="s">
        <v>4</v>
      </c>
      <c r="B147">
        <v>15</v>
      </c>
      <c r="C147" s="1" t="s">
        <v>12</v>
      </c>
      <c r="D147" s="1" t="s">
        <v>82</v>
      </c>
      <c r="E147" t="str">
        <f>LEFT(Table1[[#This Row],[target]],FIND("|",Table1[[#This Row],[target]])-1)</f>
        <v>STCE</v>
      </c>
      <c r="F147" t="str">
        <f>RIGHT(Table1[[#This Row],[target]],LEN(Table1[[#This Row],[target]])-FIND("|",Table1[[#This Row],[target]]))</f>
        <v>x64</v>
      </c>
      <c r="G147" t="str">
        <f>IF("M5"=RIGHT(Table1[[#This Row],[config]],2),"GEQm5","LEQm4")</f>
        <v>LEQm4</v>
      </c>
      <c r="H147" s="4" t="str">
        <f>IF("M5"=RIGHT(Table1[[#This Row],[config]],2),LEFT(Table1[[#This Row],[config]],LEN(Table1[[#This Row],[config]])-2),Table1[[#This Row],[config]])</f>
        <v>STCE</v>
      </c>
    </row>
    <row r="148" spans="1:8" x14ac:dyDescent="0.25">
      <c r="A148" s="1" t="s">
        <v>4</v>
      </c>
      <c r="B148">
        <v>15</v>
      </c>
      <c r="C148" s="1" t="s">
        <v>12</v>
      </c>
      <c r="D148" s="1" t="s">
        <v>72</v>
      </c>
      <c r="E148" t="str">
        <f>LEFT(Table1[[#This Row],[target]],FIND("|",Table1[[#This Row],[target]])-1)</f>
        <v>STCE</v>
      </c>
      <c r="F148" t="str">
        <f>RIGHT(Table1[[#This Row],[target]],LEN(Table1[[#This Row],[target]])-FIND("|",Table1[[#This Row],[target]]))</f>
        <v>x64</v>
      </c>
      <c r="G148" t="str">
        <f>IF("M5"=RIGHT(Table1[[#This Row],[config]],2),"GEQm5","LEQm4")</f>
        <v>LEQm4</v>
      </c>
      <c r="H148" s="4" t="str">
        <f>IF("M5"=RIGHT(Table1[[#This Row],[config]],2),LEFT(Table1[[#This Row],[config]],LEN(Table1[[#This Row],[config]])-2),Table1[[#This Row],[config]])</f>
        <v>STCE</v>
      </c>
    </row>
    <row r="149" spans="1:8" x14ac:dyDescent="0.25">
      <c r="A149" s="1" t="s">
        <v>4</v>
      </c>
      <c r="B149">
        <v>15</v>
      </c>
      <c r="C149" s="1" t="s">
        <v>12</v>
      </c>
      <c r="D149" s="1" t="s">
        <v>25</v>
      </c>
      <c r="E149" t="str">
        <f>LEFT(Table1[[#This Row],[target]],FIND("|",Table1[[#This Row],[target]])-1)</f>
        <v>STCE</v>
      </c>
      <c r="F149" t="str">
        <f>RIGHT(Table1[[#This Row],[target]],LEN(Table1[[#This Row],[target]])-FIND("|",Table1[[#This Row],[target]]))</f>
        <v>x64</v>
      </c>
      <c r="G149" t="str">
        <f>IF("M5"=RIGHT(Table1[[#This Row],[config]],2),"GEQm5","LEQm4")</f>
        <v>LEQm4</v>
      </c>
      <c r="H149" s="4" t="str">
        <f>IF("M5"=RIGHT(Table1[[#This Row],[config]],2),LEFT(Table1[[#This Row],[config]],LEN(Table1[[#This Row],[config]])-2),Table1[[#This Row],[config]])</f>
        <v>STCE</v>
      </c>
    </row>
    <row r="150" spans="1:8" x14ac:dyDescent="0.25">
      <c r="A150" s="1" t="s">
        <v>4</v>
      </c>
      <c r="B150">
        <v>15</v>
      </c>
      <c r="C150" s="1" t="s">
        <v>12</v>
      </c>
      <c r="D150" s="1" t="s">
        <v>81</v>
      </c>
      <c r="E150" t="str">
        <f>LEFT(Table1[[#This Row],[target]],FIND("|",Table1[[#This Row],[target]])-1)</f>
        <v>STCE</v>
      </c>
      <c r="F150" t="str">
        <f>RIGHT(Table1[[#This Row],[target]],LEN(Table1[[#This Row],[target]])-FIND("|",Table1[[#This Row],[target]]))</f>
        <v>x64</v>
      </c>
      <c r="G150" t="str">
        <f>IF("M5"=RIGHT(Table1[[#This Row],[config]],2),"GEQm5","LEQm4")</f>
        <v>LEQm4</v>
      </c>
      <c r="H150" s="4" t="str">
        <f>IF("M5"=RIGHT(Table1[[#This Row],[config]],2),LEFT(Table1[[#This Row],[config]],LEN(Table1[[#This Row],[config]])-2),Table1[[#This Row],[config]])</f>
        <v>STCE</v>
      </c>
    </row>
    <row r="151" spans="1:8" x14ac:dyDescent="0.25">
      <c r="A151" s="1" t="s">
        <v>4</v>
      </c>
      <c r="B151">
        <v>15</v>
      </c>
      <c r="C151" s="1" t="s">
        <v>12</v>
      </c>
      <c r="D151" s="1" t="s">
        <v>26</v>
      </c>
      <c r="E151" t="str">
        <f>LEFT(Table1[[#This Row],[target]],FIND("|",Table1[[#This Row],[target]])-1)</f>
        <v>STCE</v>
      </c>
      <c r="F151" t="str">
        <f>RIGHT(Table1[[#This Row],[target]],LEN(Table1[[#This Row],[target]])-FIND("|",Table1[[#This Row],[target]]))</f>
        <v>x64</v>
      </c>
      <c r="G151" t="str">
        <f>IF("M5"=RIGHT(Table1[[#This Row],[config]],2),"GEQm5","LEQm4")</f>
        <v>LEQm4</v>
      </c>
      <c r="H151" s="4" t="str">
        <f>IF("M5"=RIGHT(Table1[[#This Row],[config]],2),LEFT(Table1[[#This Row],[config]],LEN(Table1[[#This Row],[config]])-2),Table1[[#This Row],[config]])</f>
        <v>STCE</v>
      </c>
    </row>
    <row r="152" spans="1:8" x14ac:dyDescent="0.25">
      <c r="A152" s="1" t="s">
        <v>4</v>
      </c>
      <c r="B152">
        <v>15</v>
      </c>
      <c r="C152" s="1" t="s">
        <v>12</v>
      </c>
      <c r="D152" s="1" t="s">
        <v>73</v>
      </c>
      <c r="E152" t="str">
        <f>LEFT(Table1[[#This Row],[target]],FIND("|",Table1[[#This Row],[target]])-1)</f>
        <v>STCE</v>
      </c>
      <c r="F152" t="str">
        <f>RIGHT(Table1[[#This Row],[target]],LEN(Table1[[#This Row],[target]])-FIND("|",Table1[[#This Row],[target]]))</f>
        <v>x64</v>
      </c>
      <c r="G152" t="str">
        <f>IF("M5"=RIGHT(Table1[[#This Row],[config]],2),"GEQm5","LEQm4")</f>
        <v>LEQm4</v>
      </c>
      <c r="H152" s="4" t="str">
        <f>IF("M5"=RIGHT(Table1[[#This Row],[config]],2),LEFT(Table1[[#This Row],[config]],LEN(Table1[[#This Row],[config]])-2),Table1[[#This Row],[config]])</f>
        <v>STCE</v>
      </c>
    </row>
    <row r="153" spans="1:8" x14ac:dyDescent="0.25">
      <c r="A153" s="1" t="s">
        <v>4</v>
      </c>
      <c r="B153">
        <v>15</v>
      </c>
      <c r="C153" s="1" t="s">
        <v>12</v>
      </c>
      <c r="D153" s="1" t="s">
        <v>71</v>
      </c>
      <c r="E153" t="str">
        <f>LEFT(Table1[[#This Row],[target]],FIND("|",Table1[[#This Row],[target]])-1)</f>
        <v>STCE</v>
      </c>
      <c r="F153" t="str">
        <f>RIGHT(Table1[[#This Row],[target]],LEN(Table1[[#This Row],[target]])-FIND("|",Table1[[#This Row],[target]]))</f>
        <v>x64</v>
      </c>
      <c r="G153" t="str">
        <f>IF("M5"=RIGHT(Table1[[#This Row],[config]],2),"GEQm5","LEQm4")</f>
        <v>LEQm4</v>
      </c>
      <c r="H153" s="4" t="str">
        <f>IF("M5"=RIGHT(Table1[[#This Row],[config]],2),LEFT(Table1[[#This Row],[config]],LEN(Table1[[#This Row],[config]])-2),Table1[[#This Row],[config]])</f>
        <v>STCE</v>
      </c>
    </row>
    <row r="154" spans="1:8" x14ac:dyDescent="0.25">
      <c r="A154" s="1" t="s">
        <v>4</v>
      </c>
      <c r="B154">
        <v>15</v>
      </c>
      <c r="C154" s="1" t="s">
        <v>12</v>
      </c>
      <c r="D154" s="1" t="s">
        <v>27</v>
      </c>
      <c r="E154" t="str">
        <f>LEFT(Table1[[#This Row],[target]],FIND("|",Table1[[#This Row],[target]])-1)</f>
        <v>STCE</v>
      </c>
      <c r="F154" t="str">
        <f>RIGHT(Table1[[#This Row],[target]],LEN(Table1[[#This Row],[target]])-FIND("|",Table1[[#This Row],[target]]))</f>
        <v>x64</v>
      </c>
      <c r="G154" t="str">
        <f>IF("M5"=RIGHT(Table1[[#This Row],[config]],2),"GEQm5","LEQm4")</f>
        <v>LEQm4</v>
      </c>
      <c r="H154" s="4" t="str">
        <f>IF("M5"=RIGHT(Table1[[#This Row],[config]],2),LEFT(Table1[[#This Row],[config]],LEN(Table1[[#This Row],[config]])-2),Table1[[#This Row],[config]])</f>
        <v>STCE</v>
      </c>
    </row>
    <row r="155" spans="1:8" x14ac:dyDescent="0.25">
      <c r="A155" s="1" t="s">
        <v>4</v>
      </c>
      <c r="B155">
        <v>15</v>
      </c>
      <c r="C155" s="1" t="s">
        <v>12</v>
      </c>
      <c r="D155" s="1" t="s">
        <v>75</v>
      </c>
      <c r="E155" t="str">
        <f>LEFT(Table1[[#This Row],[target]],FIND("|",Table1[[#This Row],[target]])-1)</f>
        <v>STCE</v>
      </c>
      <c r="F155" t="str">
        <f>RIGHT(Table1[[#This Row],[target]],LEN(Table1[[#This Row],[target]])-FIND("|",Table1[[#This Row],[target]]))</f>
        <v>x64</v>
      </c>
      <c r="G155" t="str">
        <f>IF("M5"=RIGHT(Table1[[#This Row],[config]],2),"GEQm5","LEQm4")</f>
        <v>LEQm4</v>
      </c>
      <c r="H155" s="4" t="str">
        <f>IF("M5"=RIGHT(Table1[[#This Row],[config]],2),LEFT(Table1[[#This Row],[config]],LEN(Table1[[#This Row],[config]])-2),Table1[[#This Row],[config]])</f>
        <v>STCE</v>
      </c>
    </row>
    <row r="156" spans="1:8" x14ac:dyDescent="0.25">
      <c r="A156" s="1" t="s">
        <v>4</v>
      </c>
      <c r="B156">
        <v>15</v>
      </c>
      <c r="C156" s="1" t="s">
        <v>12</v>
      </c>
      <c r="D156" s="1" t="s">
        <v>78</v>
      </c>
      <c r="E156" t="str">
        <f>LEFT(Table1[[#This Row],[target]],FIND("|",Table1[[#This Row],[target]])-1)</f>
        <v>STCE</v>
      </c>
      <c r="F156" t="str">
        <f>RIGHT(Table1[[#This Row],[target]],LEN(Table1[[#This Row],[target]])-FIND("|",Table1[[#This Row],[target]]))</f>
        <v>x64</v>
      </c>
      <c r="G156" t="str">
        <f>IF("M5"=RIGHT(Table1[[#This Row],[config]],2),"GEQm5","LEQm4")</f>
        <v>LEQm4</v>
      </c>
      <c r="H156" s="4" t="str">
        <f>IF("M5"=RIGHT(Table1[[#This Row],[config]],2),LEFT(Table1[[#This Row],[config]],LEN(Table1[[#This Row],[config]])-2),Table1[[#This Row],[config]])</f>
        <v>STCE</v>
      </c>
    </row>
    <row r="157" spans="1:8" x14ac:dyDescent="0.25">
      <c r="A157" s="1" t="s">
        <v>4</v>
      </c>
      <c r="B157">
        <v>15</v>
      </c>
      <c r="C157" s="1" t="s">
        <v>12</v>
      </c>
      <c r="D157" s="1" t="s">
        <v>79</v>
      </c>
      <c r="E157" t="str">
        <f>LEFT(Table1[[#This Row],[target]],FIND("|",Table1[[#This Row],[target]])-1)</f>
        <v>STCE</v>
      </c>
      <c r="F157" t="str">
        <f>RIGHT(Table1[[#This Row],[target]],LEN(Table1[[#This Row],[target]])-FIND("|",Table1[[#This Row],[target]]))</f>
        <v>x64</v>
      </c>
      <c r="G157" t="str">
        <f>IF("M5"=RIGHT(Table1[[#This Row],[config]],2),"GEQm5","LEQm4")</f>
        <v>LEQm4</v>
      </c>
      <c r="H157" s="4" t="str">
        <f>IF("M5"=RIGHT(Table1[[#This Row],[config]],2),LEFT(Table1[[#This Row],[config]],LEN(Table1[[#This Row],[config]])-2),Table1[[#This Row],[config]])</f>
        <v>STCE</v>
      </c>
    </row>
    <row r="158" spans="1:8" x14ac:dyDescent="0.25">
      <c r="A158" s="1" t="s">
        <v>4</v>
      </c>
      <c r="B158">
        <v>15</v>
      </c>
      <c r="C158" s="1" t="s">
        <v>7</v>
      </c>
      <c r="D158" s="1" t="s">
        <v>82</v>
      </c>
      <c r="E158" t="str">
        <f>LEFT(Table1[[#This Row],[target]],FIND("|",Table1[[#This Row],[target]])-1)</f>
        <v>STCEM5</v>
      </c>
      <c r="F158" t="str">
        <f>RIGHT(Table1[[#This Row],[target]],LEN(Table1[[#This Row],[target]])-FIND("|",Table1[[#This Row],[target]]))</f>
        <v>Win32</v>
      </c>
      <c r="G158" t="str">
        <f>IF("M5"=RIGHT(Table1[[#This Row],[config]],2),"GEQm5","LEQm4")</f>
        <v>GEQm5</v>
      </c>
      <c r="H158" s="4" t="str">
        <f>IF("M5"=RIGHT(Table1[[#This Row],[config]],2),LEFT(Table1[[#This Row],[config]],LEN(Table1[[#This Row],[config]])-2),Table1[[#This Row],[config]])</f>
        <v>STCE</v>
      </c>
    </row>
    <row r="159" spans="1:8" x14ac:dyDescent="0.25">
      <c r="A159" s="1" t="s">
        <v>4</v>
      </c>
      <c r="B159">
        <v>15</v>
      </c>
      <c r="C159" s="1" t="s">
        <v>7</v>
      </c>
      <c r="D159" s="1" t="s">
        <v>72</v>
      </c>
      <c r="E159" t="str">
        <f>LEFT(Table1[[#This Row],[target]],FIND("|",Table1[[#This Row],[target]])-1)</f>
        <v>STCEM5</v>
      </c>
      <c r="F159" t="str">
        <f>RIGHT(Table1[[#This Row],[target]],LEN(Table1[[#This Row],[target]])-FIND("|",Table1[[#This Row],[target]]))</f>
        <v>Win32</v>
      </c>
      <c r="G159" t="str">
        <f>IF("M5"=RIGHT(Table1[[#This Row],[config]],2),"GEQm5","LEQm4")</f>
        <v>GEQm5</v>
      </c>
      <c r="H159" s="4" t="str">
        <f>IF("M5"=RIGHT(Table1[[#This Row],[config]],2),LEFT(Table1[[#This Row],[config]],LEN(Table1[[#This Row],[config]])-2),Table1[[#This Row],[config]])</f>
        <v>STCE</v>
      </c>
    </row>
    <row r="160" spans="1:8" x14ac:dyDescent="0.25">
      <c r="A160" s="1" t="s">
        <v>4</v>
      </c>
      <c r="B160">
        <v>15</v>
      </c>
      <c r="C160" s="1" t="s">
        <v>7</v>
      </c>
      <c r="D160" s="1" t="s">
        <v>25</v>
      </c>
      <c r="E160" t="str">
        <f>LEFT(Table1[[#This Row],[target]],FIND("|",Table1[[#This Row],[target]])-1)</f>
        <v>STCEM5</v>
      </c>
      <c r="F160" t="str">
        <f>RIGHT(Table1[[#This Row],[target]],LEN(Table1[[#This Row],[target]])-FIND("|",Table1[[#This Row],[target]]))</f>
        <v>Win32</v>
      </c>
      <c r="G160" t="str">
        <f>IF("M5"=RIGHT(Table1[[#This Row],[config]],2),"GEQm5","LEQm4")</f>
        <v>GEQm5</v>
      </c>
      <c r="H160" s="4" t="str">
        <f>IF("M5"=RIGHT(Table1[[#This Row],[config]],2),LEFT(Table1[[#This Row],[config]],LEN(Table1[[#This Row],[config]])-2),Table1[[#This Row],[config]])</f>
        <v>STCE</v>
      </c>
    </row>
    <row r="161" spans="1:8" x14ac:dyDescent="0.25">
      <c r="A161" s="1" t="s">
        <v>4</v>
      </c>
      <c r="B161">
        <v>15</v>
      </c>
      <c r="C161" s="1" t="s">
        <v>7</v>
      </c>
      <c r="D161" s="1" t="s">
        <v>77</v>
      </c>
      <c r="E161" t="str">
        <f>LEFT(Table1[[#This Row],[target]],FIND("|",Table1[[#This Row],[target]])-1)</f>
        <v>STCEM5</v>
      </c>
      <c r="F161" t="str">
        <f>RIGHT(Table1[[#This Row],[target]],LEN(Table1[[#This Row],[target]])-FIND("|",Table1[[#This Row],[target]]))</f>
        <v>Win32</v>
      </c>
      <c r="G161" t="str">
        <f>IF("M5"=RIGHT(Table1[[#This Row],[config]],2),"GEQm5","LEQm4")</f>
        <v>GEQm5</v>
      </c>
      <c r="H161" s="4" t="str">
        <f>IF("M5"=RIGHT(Table1[[#This Row],[config]],2),LEFT(Table1[[#This Row],[config]],LEN(Table1[[#This Row],[config]])-2),Table1[[#This Row],[config]])</f>
        <v>STCE</v>
      </c>
    </row>
    <row r="162" spans="1:8" x14ac:dyDescent="0.25">
      <c r="A162" s="1" t="s">
        <v>4</v>
      </c>
      <c r="B162">
        <v>15</v>
      </c>
      <c r="C162" s="1" t="s">
        <v>7</v>
      </c>
      <c r="D162" s="1" t="s">
        <v>81</v>
      </c>
      <c r="E162" t="str">
        <f>LEFT(Table1[[#This Row],[target]],FIND("|",Table1[[#This Row],[target]])-1)</f>
        <v>STCEM5</v>
      </c>
      <c r="F162" t="str">
        <f>RIGHT(Table1[[#This Row],[target]],LEN(Table1[[#This Row],[target]])-FIND("|",Table1[[#This Row],[target]]))</f>
        <v>Win32</v>
      </c>
      <c r="G162" t="str">
        <f>IF("M5"=RIGHT(Table1[[#This Row],[config]],2),"GEQm5","LEQm4")</f>
        <v>GEQm5</v>
      </c>
      <c r="H162" s="4" t="str">
        <f>IF("M5"=RIGHT(Table1[[#This Row],[config]],2),LEFT(Table1[[#This Row],[config]],LEN(Table1[[#This Row],[config]])-2),Table1[[#This Row],[config]])</f>
        <v>STCE</v>
      </c>
    </row>
    <row r="163" spans="1:8" x14ac:dyDescent="0.25">
      <c r="A163" s="1" t="s">
        <v>4</v>
      </c>
      <c r="B163">
        <v>15</v>
      </c>
      <c r="C163" s="1" t="s">
        <v>7</v>
      </c>
      <c r="D163" s="1" t="s">
        <v>26</v>
      </c>
      <c r="E163" t="str">
        <f>LEFT(Table1[[#This Row],[target]],FIND("|",Table1[[#This Row],[target]])-1)</f>
        <v>STCEM5</v>
      </c>
      <c r="F163" t="str">
        <f>RIGHT(Table1[[#This Row],[target]],LEN(Table1[[#This Row],[target]])-FIND("|",Table1[[#This Row],[target]]))</f>
        <v>Win32</v>
      </c>
      <c r="G163" t="str">
        <f>IF("M5"=RIGHT(Table1[[#This Row],[config]],2),"GEQm5","LEQm4")</f>
        <v>GEQm5</v>
      </c>
      <c r="H163" s="4" t="str">
        <f>IF("M5"=RIGHT(Table1[[#This Row],[config]],2),LEFT(Table1[[#This Row],[config]],LEN(Table1[[#This Row],[config]])-2),Table1[[#This Row],[config]])</f>
        <v>STCE</v>
      </c>
    </row>
    <row r="164" spans="1:8" x14ac:dyDescent="0.25">
      <c r="A164" s="1" t="s">
        <v>4</v>
      </c>
      <c r="B164">
        <v>15</v>
      </c>
      <c r="C164" s="1" t="s">
        <v>7</v>
      </c>
      <c r="D164" s="1" t="s">
        <v>74</v>
      </c>
      <c r="E164" t="str">
        <f>LEFT(Table1[[#This Row],[target]],FIND("|",Table1[[#This Row],[target]])-1)</f>
        <v>STCEM5</v>
      </c>
      <c r="F164" t="str">
        <f>RIGHT(Table1[[#This Row],[target]],LEN(Table1[[#This Row],[target]])-FIND("|",Table1[[#This Row],[target]]))</f>
        <v>Win32</v>
      </c>
      <c r="G164" t="str">
        <f>IF("M5"=RIGHT(Table1[[#This Row],[config]],2),"GEQm5","LEQm4")</f>
        <v>GEQm5</v>
      </c>
      <c r="H164" s="4" t="str">
        <f>IF("M5"=RIGHT(Table1[[#This Row],[config]],2),LEFT(Table1[[#This Row],[config]],LEN(Table1[[#This Row],[config]])-2),Table1[[#This Row],[config]])</f>
        <v>STCE</v>
      </c>
    </row>
    <row r="165" spans="1:8" x14ac:dyDescent="0.25">
      <c r="A165" s="1" t="s">
        <v>4</v>
      </c>
      <c r="B165">
        <v>15</v>
      </c>
      <c r="C165" s="1" t="s">
        <v>7</v>
      </c>
      <c r="D165" s="1" t="s">
        <v>70</v>
      </c>
      <c r="E165" t="str">
        <f>LEFT(Table1[[#This Row],[target]],FIND("|",Table1[[#This Row],[target]])-1)</f>
        <v>STCEM5</v>
      </c>
      <c r="F165" t="str">
        <f>RIGHT(Table1[[#This Row],[target]],LEN(Table1[[#This Row],[target]])-FIND("|",Table1[[#This Row],[target]]))</f>
        <v>Win32</v>
      </c>
      <c r="G165" t="str">
        <f>IF("M5"=RIGHT(Table1[[#This Row],[config]],2),"GEQm5","LEQm4")</f>
        <v>GEQm5</v>
      </c>
      <c r="H165" s="4" t="str">
        <f>IF("M5"=RIGHT(Table1[[#This Row],[config]],2),LEFT(Table1[[#This Row],[config]],LEN(Table1[[#This Row],[config]])-2),Table1[[#This Row],[config]])</f>
        <v>STCE</v>
      </c>
    </row>
    <row r="166" spans="1:8" x14ac:dyDescent="0.25">
      <c r="A166" s="1" t="s">
        <v>4</v>
      </c>
      <c r="B166">
        <v>15</v>
      </c>
      <c r="C166" s="1" t="s">
        <v>7</v>
      </c>
      <c r="D166" s="1" t="s">
        <v>28</v>
      </c>
      <c r="E166" t="str">
        <f>LEFT(Table1[[#This Row],[target]],FIND("|",Table1[[#This Row],[target]])-1)</f>
        <v>STCEM5</v>
      </c>
      <c r="F166" t="str">
        <f>RIGHT(Table1[[#This Row],[target]],LEN(Table1[[#This Row],[target]])-FIND("|",Table1[[#This Row],[target]]))</f>
        <v>Win32</v>
      </c>
      <c r="G166" t="str">
        <f>IF("M5"=RIGHT(Table1[[#This Row],[config]],2),"GEQm5","LEQm4")</f>
        <v>GEQm5</v>
      </c>
      <c r="H166" s="4" t="str">
        <f>IF("M5"=RIGHT(Table1[[#This Row],[config]],2),LEFT(Table1[[#This Row],[config]],LEN(Table1[[#This Row],[config]])-2),Table1[[#This Row],[config]])</f>
        <v>STCE</v>
      </c>
    </row>
    <row r="167" spans="1:8" x14ac:dyDescent="0.25">
      <c r="A167" s="1" t="s">
        <v>4</v>
      </c>
      <c r="B167">
        <v>15</v>
      </c>
      <c r="C167" s="1" t="s">
        <v>7</v>
      </c>
      <c r="D167" s="1" t="s">
        <v>75</v>
      </c>
      <c r="E167" t="str">
        <f>LEFT(Table1[[#This Row],[target]],FIND("|",Table1[[#This Row],[target]])-1)</f>
        <v>STCEM5</v>
      </c>
      <c r="F167" t="str">
        <f>RIGHT(Table1[[#This Row],[target]],LEN(Table1[[#This Row],[target]])-FIND("|",Table1[[#This Row],[target]]))</f>
        <v>Win32</v>
      </c>
      <c r="G167" t="str">
        <f>IF("M5"=RIGHT(Table1[[#This Row],[config]],2),"GEQm5","LEQm4")</f>
        <v>GEQm5</v>
      </c>
      <c r="H167" s="4" t="str">
        <f>IF("M5"=RIGHT(Table1[[#This Row],[config]],2),LEFT(Table1[[#This Row],[config]],LEN(Table1[[#This Row],[config]])-2),Table1[[#This Row],[config]])</f>
        <v>STCE</v>
      </c>
    </row>
    <row r="168" spans="1:8" x14ac:dyDescent="0.25">
      <c r="A168" s="1" t="s">
        <v>4</v>
      </c>
      <c r="B168">
        <v>15</v>
      </c>
      <c r="C168" s="1" t="s">
        <v>7</v>
      </c>
      <c r="D168" s="1" t="s">
        <v>78</v>
      </c>
      <c r="E168" t="str">
        <f>LEFT(Table1[[#This Row],[target]],FIND("|",Table1[[#This Row],[target]])-1)</f>
        <v>STCEM5</v>
      </c>
      <c r="F168" t="str">
        <f>RIGHT(Table1[[#This Row],[target]],LEN(Table1[[#This Row],[target]])-FIND("|",Table1[[#This Row],[target]]))</f>
        <v>Win32</v>
      </c>
      <c r="G168" t="str">
        <f>IF("M5"=RIGHT(Table1[[#This Row],[config]],2),"GEQm5","LEQm4")</f>
        <v>GEQm5</v>
      </c>
      <c r="H168" s="4" t="str">
        <f>IF("M5"=RIGHT(Table1[[#This Row],[config]],2),LEFT(Table1[[#This Row],[config]],LEN(Table1[[#This Row],[config]])-2),Table1[[#This Row],[config]])</f>
        <v>STCE</v>
      </c>
    </row>
    <row r="169" spans="1:8" x14ac:dyDescent="0.25">
      <c r="A169" s="1" t="s">
        <v>4</v>
      </c>
      <c r="B169">
        <v>15</v>
      </c>
      <c r="C169" s="1" t="s">
        <v>7</v>
      </c>
      <c r="D169" s="1" t="s">
        <v>79</v>
      </c>
      <c r="E169" t="str">
        <f>LEFT(Table1[[#This Row],[target]],FIND("|",Table1[[#This Row],[target]])-1)</f>
        <v>STCEM5</v>
      </c>
      <c r="F169" t="str">
        <f>RIGHT(Table1[[#This Row],[target]],LEN(Table1[[#This Row],[target]])-FIND("|",Table1[[#This Row],[target]]))</f>
        <v>Win32</v>
      </c>
      <c r="G169" t="str">
        <f>IF("M5"=RIGHT(Table1[[#This Row],[config]],2),"GEQm5","LEQm4")</f>
        <v>GEQm5</v>
      </c>
      <c r="H169" s="4" t="str">
        <f>IF("M5"=RIGHT(Table1[[#This Row],[config]],2),LEFT(Table1[[#This Row],[config]],LEN(Table1[[#This Row],[config]])-2),Table1[[#This Row],[config]])</f>
        <v>STCE</v>
      </c>
    </row>
    <row r="170" spans="1:8" x14ac:dyDescent="0.25">
      <c r="A170" s="1" t="s">
        <v>4</v>
      </c>
      <c r="B170">
        <v>15</v>
      </c>
      <c r="C170" s="1" t="s">
        <v>13</v>
      </c>
      <c r="D170" s="1" t="s">
        <v>82</v>
      </c>
      <c r="E170" t="str">
        <f>LEFT(Table1[[#This Row],[target]],FIND("|",Table1[[#This Row],[target]])-1)</f>
        <v>STCEM5</v>
      </c>
      <c r="F170" t="str">
        <f>RIGHT(Table1[[#This Row],[target]],LEN(Table1[[#This Row],[target]])-FIND("|",Table1[[#This Row],[target]]))</f>
        <v>x64</v>
      </c>
      <c r="G170" t="str">
        <f>IF("M5"=RIGHT(Table1[[#This Row],[config]],2),"GEQm5","LEQm4")</f>
        <v>GEQm5</v>
      </c>
      <c r="H170" s="4" t="str">
        <f>IF("M5"=RIGHT(Table1[[#This Row],[config]],2),LEFT(Table1[[#This Row],[config]],LEN(Table1[[#This Row],[config]])-2),Table1[[#This Row],[config]])</f>
        <v>STCE</v>
      </c>
    </row>
    <row r="171" spans="1:8" x14ac:dyDescent="0.25">
      <c r="A171" s="1" t="s">
        <v>4</v>
      </c>
      <c r="B171">
        <v>15</v>
      </c>
      <c r="C171" s="1" t="s">
        <v>13</v>
      </c>
      <c r="D171" s="1" t="s">
        <v>72</v>
      </c>
      <c r="E171" t="str">
        <f>LEFT(Table1[[#This Row],[target]],FIND("|",Table1[[#This Row],[target]])-1)</f>
        <v>STCEM5</v>
      </c>
      <c r="F171" t="str">
        <f>RIGHT(Table1[[#This Row],[target]],LEN(Table1[[#This Row],[target]])-FIND("|",Table1[[#This Row],[target]]))</f>
        <v>x64</v>
      </c>
      <c r="G171" t="str">
        <f>IF("M5"=RIGHT(Table1[[#This Row],[config]],2),"GEQm5","LEQm4")</f>
        <v>GEQm5</v>
      </c>
      <c r="H171" s="4" t="str">
        <f>IF("M5"=RIGHT(Table1[[#This Row],[config]],2),LEFT(Table1[[#This Row],[config]],LEN(Table1[[#This Row],[config]])-2),Table1[[#This Row],[config]])</f>
        <v>STCE</v>
      </c>
    </row>
    <row r="172" spans="1:8" x14ac:dyDescent="0.25">
      <c r="A172" s="1" t="s">
        <v>4</v>
      </c>
      <c r="B172">
        <v>15</v>
      </c>
      <c r="C172" s="1" t="s">
        <v>13</v>
      </c>
      <c r="D172" s="1" t="s">
        <v>25</v>
      </c>
      <c r="E172" t="str">
        <f>LEFT(Table1[[#This Row],[target]],FIND("|",Table1[[#This Row],[target]])-1)</f>
        <v>STCEM5</v>
      </c>
      <c r="F172" t="str">
        <f>RIGHT(Table1[[#This Row],[target]],LEN(Table1[[#This Row],[target]])-FIND("|",Table1[[#This Row],[target]]))</f>
        <v>x64</v>
      </c>
      <c r="G172" t="str">
        <f>IF("M5"=RIGHT(Table1[[#This Row],[config]],2),"GEQm5","LEQm4")</f>
        <v>GEQm5</v>
      </c>
      <c r="H172" s="4" t="str">
        <f>IF("M5"=RIGHT(Table1[[#This Row],[config]],2),LEFT(Table1[[#This Row],[config]],LEN(Table1[[#This Row],[config]])-2),Table1[[#This Row],[config]])</f>
        <v>STCE</v>
      </c>
    </row>
    <row r="173" spans="1:8" x14ac:dyDescent="0.25">
      <c r="A173" s="1" t="s">
        <v>4</v>
      </c>
      <c r="B173">
        <v>15</v>
      </c>
      <c r="C173" s="1" t="s">
        <v>13</v>
      </c>
      <c r="D173" s="1" t="s">
        <v>77</v>
      </c>
      <c r="E173" t="str">
        <f>LEFT(Table1[[#This Row],[target]],FIND("|",Table1[[#This Row],[target]])-1)</f>
        <v>STCEM5</v>
      </c>
      <c r="F173" t="str">
        <f>RIGHT(Table1[[#This Row],[target]],LEN(Table1[[#This Row],[target]])-FIND("|",Table1[[#This Row],[target]]))</f>
        <v>x64</v>
      </c>
      <c r="G173" t="str">
        <f>IF("M5"=RIGHT(Table1[[#This Row],[config]],2),"GEQm5","LEQm4")</f>
        <v>GEQm5</v>
      </c>
      <c r="H173" s="4" t="str">
        <f>IF("M5"=RIGHT(Table1[[#This Row],[config]],2),LEFT(Table1[[#This Row],[config]],LEN(Table1[[#This Row],[config]])-2),Table1[[#This Row],[config]])</f>
        <v>STCE</v>
      </c>
    </row>
    <row r="174" spans="1:8" x14ac:dyDescent="0.25">
      <c r="A174" s="1" t="s">
        <v>4</v>
      </c>
      <c r="B174">
        <v>15</v>
      </c>
      <c r="C174" s="1" t="s">
        <v>13</v>
      </c>
      <c r="D174" s="1" t="s">
        <v>81</v>
      </c>
      <c r="E174" t="str">
        <f>LEFT(Table1[[#This Row],[target]],FIND("|",Table1[[#This Row],[target]])-1)</f>
        <v>STCEM5</v>
      </c>
      <c r="F174" t="str">
        <f>RIGHT(Table1[[#This Row],[target]],LEN(Table1[[#This Row],[target]])-FIND("|",Table1[[#This Row],[target]]))</f>
        <v>x64</v>
      </c>
      <c r="G174" t="str">
        <f>IF("M5"=RIGHT(Table1[[#This Row],[config]],2),"GEQm5","LEQm4")</f>
        <v>GEQm5</v>
      </c>
      <c r="H174" s="4" t="str">
        <f>IF("M5"=RIGHT(Table1[[#This Row],[config]],2),LEFT(Table1[[#This Row],[config]],LEN(Table1[[#This Row],[config]])-2),Table1[[#This Row],[config]])</f>
        <v>STCE</v>
      </c>
    </row>
    <row r="175" spans="1:8" x14ac:dyDescent="0.25">
      <c r="A175" s="1" t="s">
        <v>4</v>
      </c>
      <c r="B175">
        <v>15</v>
      </c>
      <c r="C175" s="1" t="s">
        <v>13</v>
      </c>
      <c r="D175" s="1" t="s">
        <v>26</v>
      </c>
      <c r="E175" t="str">
        <f>LEFT(Table1[[#This Row],[target]],FIND("|",Table1[[#This Row],[target]])-1)</f>
        <v>STCEM5</v>
      </c>
      <c r="F175" t="str">
        <f>RIGHT(Table1[[#This Row],[target]],LEN(Table1[[#This Row],[target]])-FIND("|",Table1[[#This Row],[target]]))</f>
        <v>x64</v>
      </c>
      <c r="G175" t="str">
        <f>IF("M5"=RIGHT(Table1[[#This Row],[config]],2),"GEQm5","LEQm4")</f>
        <v>GEQm5</v>
      </c>
      <c r="H175" s="4" t="str">
        <f>IF("M5"=RIGHT(Table1[[#This Row],[config]],2),LEFT(Table1[[#This Row],[config]],LEN(Table1[[#This Row],[config]])-2),Table1[[#This Row],[config]])</f>
        <v>STCE</v>
      </c>
    </row>
    <row r="176" spans="1:8" x14ac:dyDescent="0.25">
      <c r="A176" s="1" t="s">
        <v>4</v>
      </c>
      <c r="B176">
        <v>15</v>
      </c>
      <c r="C176" s="1" t="s">
        <v>13</v>
      </c>
      <c r="D176" s="1" t="s">
        <v>73</v>
      </c>
      <c r="E176" t="str">
        <f>LEFT(Table1[[#This Row],[target]],FIND("|",Table1[[#This Row],[target]])-1)</f>
        <v>STCEM5</v>
      </c>
      <c r="F176" t="str">
        <f>RIGHT(Table1[[#This Row],[target]],LEN(Table1[[#This Row],[target]])-FIND("|",Table1[[#This Row],[target]]))</f>
        <v>x64</v>
      </c>
      <c r="G176" t="str">
        <f>IF("M5"=RIGHT(Table1[[#This Row],[config]],2),"GEQm5","LEQm4")</f>
        <v>GEQm5</v>
      </c>
      <c r="H176" s="4" t="str">
        <f>IF("M5"=RIGHT(Table1[[#This Row],[config]],2),LEFT(Table1[[#This Row],[config]],LEN(Table1[[#This Row],[config]])-2),Table1[[#This Row],[config]])</f>
        <v>STCE</v>
      </c>
    </row>
    <row r="177" spans="1:8" x14ac:dyDescent="0.25">
      <c r="A177" s="1" t="s">
        <v>4</v>
      </c>
      <c r="B177">
        <v>15</v>
      </c>
      <c r="C177" s="1" t="s">
        <v>13</v>
      </c>
      <c r="D177" s="1" t="s">
        <v>70</v>
      </c>
      <c r="E177" t="str">
        <f>LEFT(Table1[[#This Row],[target]],FIND("|",Table1[[#This Row],[target]])-1)</f>
        <v>STCEM5</v>
      </c>
      <c r="F177" t="str">
        <f>RIGHT(Table1[[#This Row],[target]],LEN(Table1[[#This Row],[target]])-FIND("|",Table1[[#This Row],[target]]))</f>
        <v>x64</v>
      </c>
      <c r="G177" t="str">
        <f>IF("M5"=RIGHT(Table1[[#This Row],[config]],2),"GEQm5","LEQm4")</f>
        <v>GEQm5</v>
      </c>
      <c r="H177" s="4" t="str">
        <f>IF("M5"=RIGHT(Table1[[#This Row],[config]],2),LEFT(Table1[[#This Row],[config]],LEN(Table1[[#This Row],[config]])-2),Table1[[#This Row],[config]])</f>
        <v>STCE</v>
      </c>
    </row>
    <row r="178" spans="1:8" x14ac:dyDescent="0.25">
      <c r="A178" s="1" t="s">
        <v>4</v>
      </c>
      <c r="B178">
        <v>15</v>
      </c>
      <c r="C178" s="1" t="s">
        <v>13</v>
      </c>
      <c r="D178" s="1" t="s">
        <v>28</v>
      </c>
      <c r="E178" t="str">
        <f>LEFT(Table1[[#This Row],[target]],FIND("|",Table1[[#This Row],[target]])-1)</f>
        <v>STCEM5</v>
      </c>
      <c r="F178" t="str">
        <f>RIGHT(Table1[[#This Row],[target]],LEN(Table1[[#This Row],[target]])-FIND("|",Table1[[#This Row],[target]]))</f>
        <v>x64</v>
      </c>
      <c r="G178" t="str">
        <f>IF("M5"=RIGHT(Table1[[#This Row],[config]],2),"GEQm5","LEQm4")</f>
        <v>GEQm5</v>
      </c>
      <c r="H178" s="4" t="str">
        <f>IF("M5"=RIGHT(Table1[[#This Row],[config]],2),LEFT(Table1[[#This Row],[config]],LEN(Table1[[#This Row],[config]])-2),Table1[[#This Row],[config]])</f>
        <v>STCE</v>
      </c>
    </row>
    <row r="179" spans="1:8" x14ac:dyDescent="0.25">
      <c r="A179" s="1" t="s">
        <v>4</v>
      </c>
      <c r="B179">
        <v>15</v>
      </c>
      <c r="C179" s="1" t="s">
        <v>13</v>
      </c>
      <c r="D179" s="1" t="s">
        <v>75</v>
      </c>
      <c r="E179" t="str">
        <f>LEFT(Table1[[#This Row],[target]],FIND("|",Table1[[#This Row],[target]])-1)</f>
        <v>STCEM5</v>
      </c>
      <c r="F179" t="str">
        <f>RIGHT(Table1[[#This Row],[target]],LEN(Table1[[#This Row],[target]])-FIND("|",Table1[[#This Row],[target]]))</f>
        <v>x64</v>
      </c>
      <c r="G179" t="str">
        <f>IF("M5"=RIGHT(Table1[[#This Row],[config]],2),"GEQm5","LEQm4")</f>
        <v>GEQm5</v>
      </c>
      <c r="H179" s="4" t="str">
        <f>IF("M5"=RIGHT(Table1[[#This Row],[config]],2),LEFT(Table1[[#This Row],[config]],LEN(Table1[[#This Row],[config]])-2),Table1[[#This Row],[config]])</f>
        <v>STCE</v>
      </c>
    </row>
    <row r="180" spans="1:8" x14ac:dyDescent="0.25">
      <c r="A180" s="1" t="s">
        <v>4</v>
      </c>
      <c r="B180">
        <v>15</v>
      </c>
      <c r="C180" s="1" t="s">
        <v>13</v>
      </c>
      <c r="D180" s="1" t="s">
        <v>78</v>
      </c>
      <c r="E180" t="str">
        <f>LEFT(Table1[[#This Row],[target]],FIND("|",Table1[[#This Row],[target]])-1)</f>
        <v>STCEM5</v>
      </c>
      <c r="F180" t="str">
        <f>RIGHT(Table1[[#This Row],[target]],LEN(Table1[[#This Row],[target]])-FIND("|",Table1[[#This Row],[target]]))</f>
        <v>x64</v>
      </c>
      <c r="G180" t="str">
        <f>IF("M5"=RIGHT(Table1[[#This Row],[config]],2),"GEQm5","LEQm4")</f>
        <v>GEQm5</v>
      </c>
      <c r="H180" s="4" t="str">
        <f>IF("M5"=RIGHT(Table1[[#This Row],[config]],2),LEFT(Table1[[#This Row],[config]],LEN(Table1[[#This Row],[config]])-2),Table1[[#This Row],[config]])</f>
        <v>STCE</v>
      </c>
    </row>
    <row r="181" spans="1:8" x14ac:dyDescent="0.25">
      <c r="A181" s="1" t="s">
        <v>4</v>
      </c>
      <c r="B181">
        <v>15</v>
      </c>
      <c r="C181" s="1" t="s">
        <v>13</v>
      </c>
      <c r="D181" s="1" t="s">
        <v>79</v>
      </c>
      <c r="E181" t="str">
        <f>LEFT(Table1[[#This Row],[target]],FIND("|",Table1[[#This Row],[target]])-1)</f>
        <v>STCEM5</v>
      </c>
      <c r="F181" t="str">
        <f>RIGHT(Table1[[#This Row],[target]],LEN(Table1[[#This Row],[target]])-FIND("|",Table1[[#This Row],[target]]))</f>
        <v>x64</v>
      </c>
      <c r="G181" t="str">
        <f>IF("M5"=RIGHT(Table1[[#This Row],[config]],2),"GEQm5","LEQm4")</f>
        <v>GEQm5</v>
      </c>
      <c r="H181" s="4" t="str">
        <f>IF("M5"=RIGHT(Table1[[#This Row],[config]],2),LEFT(Table1[[#This Row],[config]],LEN(Table1[[#This Row],[config]])-2),Table1[[#This Row],[config]])</f>
        <v>STCE</v>
      </c>
    </row>
    <row r="182" spans="1:8" x14ac:dyDescent="0.25">
      <c r="A182" s="1" t="s">
        <v>4</v>
      </c>
      <c r="B182">
        <v>15</v>
      </c>
      <c r="C182" s="1" t="s">
        <v>9</v>
      </c>
      <c r="D182" s="1" t="s">
        <v>82</v>
      </c>
      <c r="E182" t="str">
        <f>LEFT(Table1[[#This Row],[target]],FIND("|",Table1[[#This Row],[target]])-1)</f>
        <v>STCF</v>
      </c>
      <c r="F182" t="str">
        <f>RIGHT(Table1[[#This Row],[target]],LEN(Table1[[#This Row],[target]])-FIND("|",Table1[[#This Row],[target]]))</f>
        <v>Win32</v>
      </c>
      <c r="G182" t="str">
        <f>IF("M5"=RIGHT(Table1[[#This Row],[config]],2),"GEQm5","LEQm4")</f>
        <v>LEQm4</v>
      </c>
      <c r="H182" s="4" t="str">
        <f>IF("M5"=RIGHT(Table1[[#This Row],[config]],2),LEFT(Table1[[#This Row],[config]],LEN(Table1[[#This Row],[config]])-2),Table1[[#This Row],[config]])</f>
        <v>STCF</v>
      </c>
    </row>
    <row r="183" spans="1:8" x14ac:dyDescent="0.25">
      <c r="A183" s="1" t="s">
        <v>4</v>
      </c>
      <c r="B183">
        <v>15</v>
      </c>
      <c r="C183" s="1" t="s">
        <v>9</v>
      </c>
      <c r="D183" s="1" t="s">
        <v>72</v>
      </c>
      <c r="E183" t="str">
        <f>LEFT(Table1[[#This Row],[target]],FIND("|",Table1[[#This Row],[target]])-1)</f>
        <v>STCF</v>
      </c>
      <c r="F183" t="str">
        <f>RIGHT(Table1[[#This Row],[target]],LEN(Table1[[#This Row],[target]])-FIND("|",Table1[[#This Row],[target]]))</f>
        <v>Win32</v>
      </c>
      <c r="G183" t="str">
        <f>IF("M5"=RIGHT(Table1[[#This Row],[config]],2),"GEQm5","LEQm4")</f>
        <v>LEQm4</v>
      </c>
      <c r="H183" s="4" t="str">
        <f>IF("M5"=RIGHT(Table1[[#This Row],[config]],2),LEFT(Table1[[#This Row],[config]],LEN(Table1[[#This Row],[config]])-2),Table1[[#This Row],[config]])</f>
        <v>STCF</v>
      </c>
    </row>
    <row r="184" spans="1:8" x14ac:dyDescent="0.25">
      <c r="A184" s="1" t="s">
        <v>4</v>
      </c>
      <c r="B184">
        <v>15</v>
      </c>
      <c r="C184" s="1" t="s">
        <v>9</v>
      </c>
      <c r="D184" s="1" t="s">
        <v>29</v>
      </c>
      <c r="E184" t="str">
        <f>LEFT(Table1[[#This Row],[target]],FIND("|",Table1[[#This Row],[target]])-1)</f>
        <v>STCF</v>
      </c>
      <c r="F184" t="str">
        <f>RIGHT(Table1[[#This Row],[target]],LEN(Table1[[#This Row],[target]])-FIND("|",Table1[[#This Row],[target]]))</f>
        <v>Win32</v>
      </c>
      <c r="G184" t="str">
        <f>IF("M5"=RIGHT(Table1[[#This Row],[config]],2),"GEQm5","LEQm4")</f>
        <v>LEQm4</v>
      </c>
      <c r="H184" s="4" t="str">
        <f>IF("M5"=RIGHT(Table1[[#This Row],[config]],2),LEFT(Table1[[#This Row],[config]],LEN(Table1[[#This Row],[config]])-2),Table1[[#This Row],[config]])</f>
        <v>STCF</v>
      </c>
    </row>
    <row r="185" spans="1:8" x14ac:dyDescent="0.25">
      <c r="A185" s="1" t="s">
        <v>4</v>
      </c>
      <c r="B185">
        <v>15</v>
      </c>
      <c r="C185" s="1" t="s">
        <v>9</v>
      </c>
      <c r="D185" s="1" t="s">
        <v>81</v>
      </c>
      <c r="E185" t="str">
        <f>LEFT(Table1[[#This Row],[target]],FIND("|",Table1[[#This Row],[target]])-1)</f>
        <v>STCF</v>
      </c>
      <c r="F185" t="str">
        <f>RIGHT(Table1[[#This Row],[target]],LEN(Table1[[#This Row],[target]])-FIND("|",Table1[[#This Row],[target]]))</f>
        <v>Win32</v>
      </c>
      <c r="G185" t="str">
        <f>IF("M5"=RIGHT(Table1[[#This Row],[config]],2),"GEQm5","LEQm4")</f>
        <v>LEQm4</v>
      </c>
      <c r="H185" s="4" t="str">
        <f>IF("M5"=RIGHT(Table1[[#This Row],[config]],2),LEFT(Table1[[#This Row],[config]],LEN(Table1[[#This Row],[config]])-2),Table1[[#This Row],[config]])</f>
        <v>STCF</v>
      </c>
    </row>
    <row r="186" spans="1:8" x14ac:dyDescent="0.25">
      <c r="A186" s="1" t="s">
        <v>4</v>
      </c>
      <c r="B186">
        <v>15</v>
      </c>
      <c r="C186" s="1" t="s">
        <v>9</v>
      </c>
      <c r="D186" s="1" t="s">
        <v>26</v>
      </c>
      <c r="E186" t="str">
        <f>LEFT(Table1[[#This Row],[target]],FIND("|",Table1[[#This Row],[target]])-1)</f>
        <v>STCF</v>
      </c>
      <c r="F186" t="str">
        <f>RIGHT(Table1[[#This Row],[target]],LEN(Table1[[#This Row],[target]])-FIND("|",Table1[[#This Row],[target]]))</f>
        <v>Win32</v>
      </c>
      <c r="G186" t="str">
        <f>IF("M5"=RIGHT(Table1[[#This Row],[config]],2),"GEQm5","LEQm4")</f>
        <v>LEQm4</v>
      </c>
      <c r="H186" s="4" t="str">
        <f>IF("M5"=RIGHT(Table1[[#This Row],[config]],2),LEFT(Table1[[#This Row],[config]],LEN(Table1[[#This Row],[config]])-2),Table1[[#This Row],[config]])</f>
        <v>STCF</v>
      </c>
    </row>
    <row r="187" spans="1:8" x14ac:dyDescent="0.25">
      <c r="A187" s="1" t="s">
        <v>4</v>
      </c>
      <c r="B187">
        <v>15</v>
      </c>
      <c r="C187" s="1" t="s">
        <v>9</v>
      </c>
      <c r="D187" s="1" t="s">
        <v>74</v>
      </c>
      <c r="E187" t="str">
        <f>LEFT(Table1[[#This Row],[target]],FIND("|",Table1[[#This Row],[target]])-1)</f>
        <v>STCF</v>
      </c>
      <c r="F187" t="str">
        <f>RIGHT(Table1[[#This Row],[target]],LEN(Table1[[#This Row],[target]])-FIND("|",Table1[[#This Row],[target]]))</f>
        <v>Win32</v>
      </c>
      <c r="G187" t="str">
        <f>IF("M5"=RIGHT(Table1[[#This Row],[config]],2),"GEQm5","LEQm4")</f>
        <v>LEQm4</v>
      </c>
      <c r="H187" s="4" t="str">
        <f>IF("M5"=RIGHT(Table1[[#This Row],[config]],2),LEFT(Table1[[#This Row],[config]],LEN(Table1[[#This Row],[config]])-2),Table1[[#This Row],[config]])</f>
        <v>STCF</v>
      </c>
    </row>
    <row r="188" spans="1:8" x14ac:dyDescent="0.25">
      <c r="A188" s="1" t="s">
        <v>4</v>
      </c>
      <c r="B188">
        <v>15</v>
      </c>
      <c r="C188" s="1" t="s">
        <v>9</v>
      </c>
      <c r="D188" s="1" t="s">
        <v>71</v>
      </c>
      <c r="E188" t="str">
        <f>LEFT(Table1[[#This Row],[target]],FIND("|",Table1[[#This Row],[target]])-1)</f>
        <v>STCF</v>
      </c>
      <c r="F188" t="str">
        <f>RIGHT(Table1[[#This Row],[target]],LEN(Table1[[#This Row],[target]])-FIND("|",Table1[[#This Row],[target]]))</f>
        <v>Win32</v>
      </c>
      <c r="G188" t="str">
        <f>IF("M5"=RIGHT(Table1[[#This Row],[config]],2),"GEQm5","LEQm4")</f>
        <v>LEQm4</v>
      </c>
      <c r="H188" s="4" t="str">
        <f>IF("M5"=RIGHT(Table1[[#This Row],[config]],2),LEFT(Table1[[#This Row],[config]],LEN(Table1[[#This Row],[config]])-2),Table1[[#This Row],[config]])</f>
        <v>STCF</v>
      </c>
    </row>
    <row r="189" spans="1:8" x14ac:dyDescent="0.25">
      <c r="A189" s="1" t="s">
        <v>4</v>
      </c>
      <c r="B189">
        <v>15</v>
      </c>
      <c r="C189" s="1" t="s">
        <v>9</v>
      </c>
      <c r="D189" s="1" t="s">
        <v>27</v>
      </c>
      <c r="E189" t="str">
        <f>LEFT(Table1[[#This Row],[target]],FIND("|",Table1[[#This Row],[target]])-1)</f>
        <v>STCF</v>
      </c>
      <c r="F189" t="str">
        <f>RIGHT(Table1[[#This Row],[target]],LEN(Table1[[#This Row],[target]])-FIND("|",Table1[[#This Row],[target]]))</f>
        <v>Win32</v>
      </c>
      <c r="G189" t="str">
        <f>IF("M5"=RIGHT(Table1[[#This Row],[config]],2),"GEQm5","LEQm4")</f>
        <v>LEQm4</v>
      </c>
      <c r="H189" s="4" t="str">
        <f>IF("M5"=RIGHT(Table1[[#This Row],[config]],2),LEFT(Table1[[#This Row],[config]],LEN(Table1[[#This Row],[config]])-2),Table1[[#This Row],[config]])</f>
        <v>STCF</v>
      </c>
    </row>
    <row r="190" spans="1:8" x14ac:dyDescent="0.25">
      <c r="A190" s="1" t="s">
        <v>4</v>
      </c>
      <c r="B190">
        <v>15</v>
      </c>
      <c r="C190" s="1" t="s">
        <v>9</v>
      </c>
      <c r="D190" s="1" t="s">
        <v>75</v>
      </c>
      <c r="E190" t="str">
        <f>LEFT(Table1[[#This Row],[target]],FIND("|",Table1[[#This Row],[target]])-1)</f>
        <v>STCF</v>
      </c>
      <c r="F190" t="str">
        <f>RIGHT(Table1[[#This Row],[target]],LEN(Table1[[#This Row],[target]])-FIND("|",Table1[[#This Row],[target]]))</f>
        <v>Win32</v>
      </c>
      <c r="G190" t="str">
        <f>IF("M5"=RIGHT(Table1[[#This Row],[config]],2),"GEQm5","LEQm4")</f>
        <v>LEQm4</v>
      </c>
      <c r="H190" s="4" t="str">
        <f>IF("M5"=RIGHT(Table1[[#This Row],[config]],2),LEFT(Table1[[#This Row],[config]],LEN(Table1[[#This Row],[config]])-2),Table1[[#This Row],[config]])</f>
        <v>STCF</v>
      </c>
    </row>
    <row r="191" spans="1:8" x14ac:dyDescent="0.25">
      <c r="A191" s="1" t="s">
        <v>4</v>
      </c>
      <c r="B191">
        <v>15</v>
      </c>
      <c r="C191" s="1" t="s">
        <v>9</v>
      </c>
      <c r="D191" s="1" t="s">
        <v>78</v>
      </c>
      <c r="E191" t="str">
        <f>LEFT(Table1[[#This Row],[target]],FIND("|",Table1[[#This Row],[target]])-1)</f>
        <v>STCF</v>
      </c>
      <c r="F191" t="str">
        <f>RIGHT(Table1[[#This Row],[target]],LEN(Table1[[#This Row],[target]])-FIND("|",Table1[[#This Row],[target]]))</f>
        <v>Win32</v>
      </c>
      <c r="G191" t="str">
        <f>IF("M5"=RIGHT(Table1[[#This Row],[config]],2),"GEQm5","LEQm4")</f>
        <v>LEQm4</v>
      </c>
      <c r="H191" s="4" t="str">
        <f>IF("M5"=RIGHT(Table1[[#This Row],[config]],2),LEFT(Table1[[#This Row],[config]],LEN(Table1[[#This Row],[config]])-2),Table1[[#This Row],[config]])</f>
        <v>STCF</v>
      </c>
    </row>
    <row r="192" spans="1:8" x14ac:dyDescent="0.25">
      <c r="A192" s="1" t="s">
        <v>4</v>
      </c>
      <c r="B192">
        <v>15</v>
      </c>
      <c r="C192" s="1" t="s">
        <v>9</v>
      </c>
      <c r="D192" s="1" t="s">
        <v>79</v>
      </c>
      <c r="E192" t="str">
        <f>LEFT(Table1[[#This Row],[target]],FIND("|",Table1[[#This Row],[target]])-1)</f>
        <v>STCF</v>
      </c>
      <c r="F192" t="str">
        <f>RIGHT(Table1[[#This Row],[target]],LEN(Table1[[#This Row],[target]])-FIND("|",Table1[[#This Row],[target]]))</f>
        <v>Win32</v>
      </c>
      <c r="G192" t="str">
        <f>IF("M5"=RIGHT(Table1[[#This Row],[config]],2),"GEQm5","LEQm4")</f>
        <v>LEQm4</v>
      </c>
      <c r="H192" s="4" t="str">
        <f>IF("M5"=RIGHT(Table1[[#This Row],[config]],2),LEFT(Table1[[#This Row],[config]],LEN(Table1[[#This Row],[config]])-2),Table1[[#This Row],[config]])</f>
        <v>STCF</v>
      </c>
    </row>
    <row r="193" spans="1:8" x14ac:dyDescent="0.25">
      <c r="A193" s="1" t="s">
        <v>4</v>
      </c>
      <c r="B193">
        <v>15</v>
      </c>
      <c r="C193" s="1" t="s">
        <v>15</v>
      </c>
      <c r="D193" s="1" t="s">
        <v>82</v>
      </c>
      <c r="E193" t="str">
        <f>LEFT(Table1[[#This Row],[target]],FIND("|",Table1[[#This Row],[target]])-1)</f>
        <v>STCF</v>
      </c>
      <c r="F193" t="str">
        <f>RIGHT(Table1[[#This Row],[target]],LEN(Table1[[#This Row],[target]])-FIND("|",Table1[[#This Row],[target]]))</f>
        <v>x64</v>
      </c>
      <c r="G193" t="str">
        <f>IF("M5"=RIGHT(Table1[[#This Row],[config]],2),"GEQm5","LEQm4")</f>
        <v>LEQm4</v>
      </c>
      <c r="H193" s="4" t="str">
        <f>IF("M5"=RIGHT(Table1[[#This Row],[config]],2),LEFT(Table1[[#This Row],[config]],LEN(Table1[[#This Row],[config]])-2),Table1[[#This Row],[config]])</f>
        <v>STCF</v>
      </c>
    </row>
    <row r="194" spans="1:8" x14ac:dyDescent="0.25">
      <c r="A194" s="1" t="s">
        <v>4</v>
      </c>
      <c r="B194">
        <v>15</v>
      </c>
      <c r="C194" s="1" t="s">
        <v>15</v>
      </c>
      <c r="D194" s="1" t="s">
        <v>72</v>
      </c>
      <c r="E194" t="str">
        <f>LEFT(Table1[[#This Row],[target]],FIND("|",Table1[[#This Row],[target]])-1)</f>
        <v>STCF</v>
      </c>
      <c r="F194" t="str">
        <f>RIGHT(Table1[[#This Row],[target]],LEN(Table1[[#This Row],[target]])-FIND("|",Table1[[#This Row],[target]]))</f>
        <v>x64</v>
      </c>
      <c r="G194" t="str">
        <f>IF("M5"=RIGHT(Table1[[#This Row],[config]],2),"GEQm5","LEQm4")</f>
        <v>LEQm4</v>
      </c>
      <c r="H194" s="4" t="str">
        <f>IF("M5"=RIGHT(Table1[[#This Row],[config]],2),LEFT(Table1[[#This Row],[config]],LEN(Table1[[#This Row],[config]])-2),Table1[[#This Row],[config]])</f>
        <v>STCF</v>
      </c>
    </row>
    <row r="195" spans="1:8" x14ac:dyDescent="0.25">
      <c r="A195" s="1" t="s">
        <v>4</v>
      </c>
      <c r="B195">
        <v>15</v>
      </c>
      <c r="C195" s="1" t="s">
        <v>15</v>
      </c>
      <c r="D195" s="1" t="s">
        <v>29</v>
      </c>
      <c r="E195" t="str">
        <f>LEFT(Table1[[#This Row],[target]],FIND("|",Table1[[#This Row],[target]])-1)</f>
        <v>STCF</v>
      </c>
      <c r="F195" t="str">
        <f>RIGHT(Table1[[#This Row],[target]],LEN(Table1[[#This Row],[target]])-FIND("|",Table1[[#This Row],[target]]))</f>
        <v>x64</v>
      </c>
      <c r="G195" t="str">
        <f>IF("M5"=RIGHT(Table1[[#This Row],[config]],2),"GEQm5","LEQm4")</f>
        <v>LEQm4</v>
      </c>
      <c r="H195" s="4" t="str">
        <f>IF("M5"=RIGHT(Table1[[#This Row],[config]],2),LEFT(Table1[[#This Row],[config]],LEN(Table1[[#This Row],[config]])-2),Table1[[#This Row],[config]])</f>
        <v>STCF</v>
      </c>
    </row>
    <row r="196" spans="1:8" x14ac:dyDescent="0.25">
      <c r="A196" s="1" t="s">
        <v>4</v>
      </c>
      <c r="B196">
        <v>15</v>
      </c>
      <c r="C196" s="1" t="s">
        <v>15</v>
      </c>
      <c r="D196" s="1" t="s">
        <v>81</v>
      </c>
      <c r="E196" t="str">
        <f>LEFT(Table1[[#This Row],[target]],FIND("|",Table1[[#This Row],[target]])-1)</f>
        <v>STCF</v>
      </c>
      <c r="F196" t="str">
        <f>RIGHT(Table1[[#This Row],[target]],LEN(Table1[[#This Row],[target]])-FIND("|",Table1[[#This Row],[target]]))</f>
        <v>x64</v>
      </c>
      <c r="G196" t="str">
        <f>IF("M5"=RIGHT(Table1[[#This Row],[config]],2),"GEQm5","LEQm4")</f>
        <v>LEQm4</v>
      </c>
      <c r="H196" s="4" t="str">
        <f>IF("M5"=RIGHT(Table1[[#This Row],[config]],2),LEFT(Table1[[#This Row],[config]],LEN(Table1[[#This Row],[config]])-2),Table1[[#This Row],[config]])</f>
        <v>STCF</v>
      </c>
    </row>
    <row r="197" spans="1:8" x14ac:dyDescent="0.25">
      <c r="A197" s="1" t="s">
        <v>4</v>
      </c>
      <c r="B197">
        <v>15</v>
      </c>
      <c r="C197" s="1" t="s">
        <v>15</v>
      </c>
      <c r="D197" s="1" t="s">
        <v>26</v>
      </c>
      <c r="E197" t="str">
        <f>LEFT(Table1[[#This Row],[target]],FIND("|",Table1[[#This Row],[target]])-1)</f>
        <v>STCF</v>
      </c>
      <c r="F197" t="str">
        <f>RIGHT(Table1[[#This Row],[target]],LEN(Table1[[#This Row],[target]])-FIND("|",Table1[[#This Row],[target]]))</f>
        <v>x64</v>
      </c>
      <c r="G197" t="str">
        <f>IF("M5"=RIGHT(Table1[[#This Row],[config]],2),"GEQm5","LEQm4")</f>
        <v>LEQm4</v>
      </c>
      <c r="H197" s="4" t="str">
        <f>IF("M5"=RIGHT(Table1[[#This Row],[config]],2),LEFT(Table1[[#This Row],[config]],LEN(Table1[[#This Row],[config]])-2),Table1[[#This Row],[config]])</f>
        <v>STCF</v>
      </c>
    </row>
    <row r="198" spans="1:8" x14ac:dyDescent="0.25">
      <c r="A198" s="1" t="s">
        <v>4</v>
      </c>
      <c r="B198">
        <v>15</v>
      </c>
      <c r="C198" s="1" t="s">
        <v>15</v>
      </c>
      <c r="D198" s="1" t="s">
        <v>73</v>
      </c>
      <c r="E198" t="str">
        <f>LEFT(Table1[[#This Row],[target]],FIND("|",Table1[[#This Row],[target]])-1)</f>
        <v>STCF</v>
      </c>
      <c r="F198" t="str">
        <f>RIGHT(Table1[[#This Row],[target]],LEN(Table1[[#This Row],[target]])-FIND("|",Table1[[#This Row],[target]]))</f>
        <v>x64</v>
      </c>
      <c r="G198" t="str">
        <f>IF("M5"=RIGHT(Table1[[#This Row],[config]],2),"GEQm5","LEQm4")</f>
        <v>LEQm4</v>
      </c>
      <c r="H198" s="4" t="str">
        <f>IF("M5"=RIGHT(Table1[[#This Row],[config]],2),LEFT(Table1[[#This Row],[config]],LEN(Table1[[#This Row],[config]])-2),Table1[[#This Row],[config]])</f>
        <v>STCF</v>
      </c>
    </row>
    <row r="199" spans="1:8" x14ac:dyDescent="0.25">
      <c r="A199" s="1" t="s">
        <v>4</v>
      </c>
      <c r="B199">
        <v>15</v>
      </c>
      <c r="C199" s="1" t="s">
        <v>15</v>
      </c>
      <c r="D199" s="1" t="s">
        <v>71</v>
      </c>
      <c r="E199" t="str">
        <f>LEFT(Table1[[#This Row],[target]],FIND("|",Table1[[#This Row],[target]])-1)</f>
        <v>STCF</v>
      </c>
      <c r="F199" t="str">
        <f>RIGHT(Table1[[#This Row],[target]],LEN(Table1[[#This Row],[target]])-FIND("|",Table1[[#This Row],[target]]))</f>
        <v>x64</v>
      </c>
      <c r="G199" t="str">
        <f>IF("M5"=RIGHT(Table1[[#This Row],[config]],2),"GEQm5","LEQm4")</f>
        <v>LEQm4</v>
      </c>
      <c r="H199" s="4" t="str">
        <f>IF("M5"=RIGHT(Table1[[#This Row],[config]],2),LEFT(Table1[[#This Row],[config]],LEN(Table1[[#This Row],[config]])-2),Table1[[#This Row],[config]])</f>
        <v>STCF</v>
      </c>
    </row>
    <row r="200" spans="1:8" x14ac:dyDescent="0.25">
      <c r="A200" s="1" t="s">
        <v>4</v>
      </c>
      <c r="B200">
        <v>15</v>
      </c>
      <c r="C200" s="1" t="s">
        <v>15</v>
      </c>
      <c r="D200" s="1" t="s">
        <v>27</v>
      </c>
      <c r="E200" t="str">
        <f>LEFT(Table1[[#This Row],[target]],FIND("|",Table1[[#This Row],[target]])-1)</f>
        <v>STCF</v>
      </c>
      <c r="F200" t="str">
        <f>RIGHT(Table1[[#This Row],[target]],LEN(Table1[[#This Row],[target]])-FIND("|",Table1[[#This Row],[target]]))</f>
        <v>x64</v>
      </c>
      <c r="G200" t="str">
        <f>IF("M5"=RIGHT(Table1[[#This Row],[config]],2),"GEQm5","LEQm4")</f>
        <v>LEQm4</v>
      </c>
      <c r="H200" s="4" t="str">
        <f>IF("M5"=RIGHT(Table1[[#This Row],[config]],2),LEFT(Table1[[#This Row],[config]],LEN(Table1[[#This Row],[config]])-2),Table1[[#This Row],[config]])</f>
        <v>STCF</v>
      </c>
    </row>
    <row r="201" spans="1:8" x14ac:dyDescent="0.25">
      <c r="A201" s="1" t="s">
        <v>4</v>
      </c>
      <c r="B201">
        <v>15</v>
      </c>
      <c r="C201" s="1" t="s">
        <v>15</v>
      </c>
      <c r="D201" s="1" t="s">
        <v>75</v>
      </c>
      <c r="E201" t="str">
        <f>LEFT(Table1[[#This Row],[target]],FIND("|",Table1[[#This Row],[target]])-1)</f>
        <v>STCF</v>
      </c>
      <c r="F201" t="str">
        <f>RIGHT(Table1[[#This Row],[target]],LEN(Table1[[#This Row],[target]])-FIND("|",Table1[[#This Row],[target]]))</f>
        <v>x64</v>
      </c>
      <c r="G201" t="str">
        <f>IF("M5"=RIGHT(Table1[[#This Row],[config]],2),"GEQm5","LEQm4")</f>
        <v>LEQm4</v>
      </c>
      <c r="H201" s="4" t="str">
        <f>IF("M5"=RIGHT(Table1[[#This Row],[config]],2),LEFT(Table1[[#This Row],[config]],LEN(Table1[[#This Row],[config]])-2),Table1[[#This Row],[config]])</f>
        <v>STCF</v>
      </c>
    </row>
    <row r="202" spans="1:8" x14ac:dyDescent="0.25">
      <c r="A202" s="1" t="s">
        <v>4</v>
      </c>
      <c r="B202">
        <v>15</v>
      </c>
      <c r="C202" s="1" t="s">
        <v>15</v>
      </c>
      <c r="D202" s="1" t="s">
        <v>78</v>
      </c>
      <c r="E202" t="str">
        <f>LEFT(Table1[[#This Row],[target]],FIND("|",Table1[[#This Row],[target]])-1)</f>
        <v>STCF</v>
      </c>
      <c r="F202" t="str">
        <f>RIGHT(Table1[[#This Row],[target]],LEN(Table1[[#This Row],[target]])-FIND("|",Table1[[#This Row],[target]]))</f>
        <v>x64</v>
      </c>
      <c r="G202" t="str">
        <f>IF("M5"=RIGHT(Table1[[#This Row],[config]],2),"GEQm5","LEQm4")</f>
        <v>LEQm4</v>
      </c>
      <c r="H202" s="4" t="str">
        <f>IF("M5"=RIGHT(Table1[[#This Row],[config]],2),LEFT(Table1[[#This Row],[config]],LEN(Table1[[#This Row],[config]])-2),Table1[[#This Row],[config]])</f>
        <v>STCF</v>
      </c>
    </row>
    <row r="203" spans="1:8" x14ac:dyDescent="0.25">
      <c r="A203" s="1" t="s">
        <v>4</v>
      </c>
      <c r="B203">
        <v>15</v>
      </c>
      <c r="C203" s="1" t="s">
        <v>15</v>
      </c>
      <c r="D203" s="1" t="s">
        <v>79</v>
      </c>
      <c r="E203" t="str">
        <f>LEFT(Table1[[#This Row],[target]],FIND("|",Table1[[#This Row],[target]])-1)</f>
        <v>STCF</v>
      </c>
      <c r="F203" t="str">
        <f>RIGHT(Table1[[#This Row],[target]],LEN(Table1[[#This Row],[target]])-FIND("|",Table1[[#This Row],[target]]))</f>
        <v>x64</v>
      </c>
      <c r="G203" t="str">
        <f>IF("M5"=RIGHT(Table1[[#This Row],[config]],2),"GEQm5","LEQm4")</f>
        <v>LEQm4</v>
      </c>
      <c r="H203" s="4" t="str">
        <f>IF("M5"=RIGHT(Table1[[#This Row],[config]],2),LEFT(Table1[[#This Row],[config]],LEN(Table1[[#This Row],[config]])-2),Table1[[#This Row],[config]])</f>
        <v>STCF</v>
      </c>
    </row>
    <row r="204" spans="1:8" x14ac:dyDescent="0.25">
      <c r="A204" s="1" t="s">
        <v>4</v>
      </c>
      <c r="B204">
        <v>15</v>
      </c>
      <c r="C204" s="1" t="s">
        <v>10</v>
      </c>
      <c r="D204" s="1" t="s">
        <v>82</v>
      </c>
      <c r="E204" t="str">
        <f>LEFT(Table1[[#This Row],[target]],FIND("|",Table1[[#This Row],[target]])-1)</f>
        <v>STCFM5</v>
      </c>
      <c r="F204" t="str">
        <f>RIGHT(Table1[[#This Row],[target]],LEN(Table1[[#This Row],[target]])-FIND("|",Table1[[#This Row],[target]]))</f>
        <v>Win32</v>
      </c>
      <c r="G204" t="str">
        <f>IF("M5"=RIGHT(Table1[[#This Row],[config]],2),"GEQm5","LEQm4")</f>
        <v>GEQm5</v>
      </c>
      <c r="H204" s="4" t="str">
        <f>IF("M5"=RIGHT(Table1[[#This Row],[config]],2),LEFT(Table1[[#This Row],[config]],LEN(Table1[[#This Row],[config]])-2),Table1[[#This Row],[config]])</f>
        <v>STCF</v>
      </c>
    </row>
    <row r="205" spans="1:8" x14ac:dyDescent="0.25">
      <c r="A205" s="1" t="s">
        <v>4</v>
      </c>
      <c r="B205">
        <v>15</v>
      </c>
      <c r="C205" s="1" t="s">
        <v>10</v>
      </c>
      <c r="D205" s="1" t="s">
        <v>72</v>
      </c>
      <c r="E205" t="str">
        <f>LEFT(Table1[[#This Row],[target]],FIND("|",Table1[[#This Row],[target]])-1)</f>
        <v>STCFM5</v>
      </c>
      <c r="F205" t="str">
        <f>RIGHT(Table1[[#This Row],[target]],LEN(Table1[[#This Row],[target]])-FIND("|",Table1[[#This Row],[target]]))</f>
        <v>Win32</v>
      </c>
      <c r="G205" t="str">
        <f>IF("M5"=RIGHT(Table1[[#This Row],[config]],2),"GEQm5","LEQm4")</f>
        <v>GEQm5</v>
      </c>
      <c r="H205" s="4" t="str">
        <f>IF("M5"=RIGHT(Table1[[#This Row],[config]],2),LEFT(Table1[[#This Row],[config]],LEN(Table1[[#This Row],[config]])-2),Table1[[#This Row],[config]])</f>
        <v>STCF</v>
      </c>
    </row>
    <row r="206" spans="1:8" x14ac:dyDescent="0.25">
      <c r="A206" s="1" t="s">
        <v>4</v>
      </c>
      <c r="B206">
        <v>15</v>
      </c>
      <c r="C206" s="1" t="s">
        <v>10</v>
      </c>
      <c r="D206" s="1" t="s">
        <v>29</v>
      </c>
      <c r="E206" t="str">
        <f>LEFT(Table1[[#This Row],[target]],FIND("|",Table1[[#This Row],[target]])-1)</f>
        <v>STCFM5</v>
      </c>
      <c r="F206" t="str">
        <f>RIGHT(Table1[[#This Row],[target]],LEN(Table1[[#This Row],[target]])-FIND("|",Table1[[#This Row],[target]]))</f>
        <v>Win32</v>
      </c>
      <c r="G206" t="str">
        <f>IF("M5"=RIGHT(Table1[[#This Row],[config]],2),"GEQm5","LEQm4")</f>
        <v>GEQm5</v>
      </c>
      <c r="H206" s="4" t="str">
        <f>IF("M5"=RIGHT(Table1[[#This Row],[config]],2),LEFT(Table1[[#This Row],[config]],LEN(Table1[[#This Row],[config]])-2),Table1[[#This Row],[config]])</f>
        <v>STCF</v>
      </c>
    </row>
    <row r="207" spans="1:8" x14ac:dyDescent="0.25">
      <c r="A207" s="1" t="s">
        <v>4</v>
      </c>
      <c r="B207">
        <v>15</v>
      </c>
      <c r="C207" s="1" t="s">
        <v>10</v>
      </c>
      <c r="D207" s="1" t="s">
        <v>77</v>
      </c>
      <c r="E207" t="str">
        <f>LEFT(Table1[[#This Row],[target]],FIND("|",Table1[[#This Row],[target]])-1)</f>
        <v>STCFM5</v>
      </c>
      <c r="F207" t="str">
        <f>RIGHT(Table1[[#This Row],[target]],LEN(Table1[[#This Row],[target]])-FIND("|",Table1[[#This Row],[target]]))</f>
        <v>Win32</v>
      </c>
      <c r="G207" t="str">
        <f>IF("M5"=RIGHT(Table1[[#This Row],[config]],2),"GEQm5","LEQm4")</f>
        <v>GEQm5</v>
      </c>
      <c r="H207" s="4" t="str">
        <f>IF("M5"=RIGHT(Table1[[#This Row],[config]],2),LEFT(Table1[[#This Row],[config]],LEN(Table1[[#This Row],[config]])-2),Table1[[#This Row],[config]])</f>
        <v>STCF</v>
      </c>
    </row>
    <row r="208" spans="1:8" x14ac:dyDescent="0.25">
      <c r="A208" s="1" t="s">
        <v>4</v>
      </c>
      <c r="B208">
        <v>15</v>
      </c>
      <c r="C208" s="1" t="s">
        <v>10</v>
      </c>
      <c r="D208" s="1" t="s">
        <v>81</v>
      </c>
      <c r="E208" t="str">
        <f>LEFT(Table1[[#This Row],[target]],FIND("|",Table1[[#This Row],[target]])-1)</f>
        <v>STCFM5</v>
      </c>
      <c r="F208" t="str">
        <f>RIGHT(Table1[[#This Row],[target]],LEN(Table1[[#This Row],[target]])-FIND("|",Table1[[#This Row],[target]]))</f>
        <v>Win32</v>
      </c>
      <c r="G208" t="str">
        <f>IF("M5"=RIGHT(Table1[[#This Row],[config]],2),"GEQm5","LEQm4")</f>
        <v>GEQm5</v>
      </c>
      <c r="H208" s="4" t="str">
        <f>IF("M5"=RIGHT(Table1[[#This Row],[config]],2),LEFT(Table1[[#This Row],[config]],LEN(Table1[[#This Row],[config]])-2),Table1[[#This Row],[config]])</f>
        <v>STCF</v>
      </c>
    </row>
    <row r="209" spans="1:8" x14ac:dyDescent="0.25">
      <c r="A209" s="1" t="s">
        <v>4</v>
      </c>
      <c r="B209">
        <v>15</v>
      </c>
      <c r="C209" s="1" t="s">
        <v>10</v>
      </c>
      <c r="D209" s="1" t="s">
        <v>26</v>
      </c>
      <c r="E209" t="str">
        <f>LEFT(Table1[[#This Row],[target]],FIND("|",Table1[[#This Row],[target]])-1)</f>
        <v>STCFM5</v>
      </c>
      <c r="F209" t="str">
        <f>RIGHT(Table1[[#This Row],[target]],LEN(Table1[[#This Row],[target]])-FIND("|",Table1[[#This Row],[target]]))</f>
        <v>Win32</v>
      </c>
      <c r="G209" t="str">
        <f>IF("M5"=RIGHT(Table1[[#This Row],[config]],2),"GEQm5","LEQm4")</f>
        <v>GEQm5</v>
      </c>
      <c r="H209" s="4" t="str">
        <f>IF("M5"=RIGHT(Table1[[#This Row],[config]],2),LEFT(Table1[[#This Row],[config]],LEN(Table1[[#This Row],[config]])-2),Table1[[#This Row],[config]])</f>
        <v>STCF</v>
      </c>
    </row>
    <row r="210" spans="1:8" x14ac:dyDescent="0.25">
      <c r="A210" s="1" t="s">
        <v>4</v>
      </c>
      <c r="B210">
        <v>15</v>
      </c>
      <c r="C210" s="1" t="s">
        <v>10</v>
      </c>
      <c r="D210" s="1" t="s">
        <v>74</v>
      </c>
      <c r="E210" t="str">
        <f>LEFT(Table1[[#This Row],[target]],FIND("|",Table1[[#This Row],[target]])-1)</f>
        <v>STCFM5</v>
      </c>
      <c r="F210" t="str">
        <f>RIGHT(Table1[[#This Row],[target]],LEN(Table1[[#This Row],[target]])-FIND("|",Table1[[#This Row],[target]]))</f>
        <v>Win32</v>
      </c>
      <c r="G210" t="str">
        <f>IF("M5"=RIGHT(Table1[[#This Row],[config]],2),"GEQm5","LEQm4")</f>
        <v>GEQm5</v>
      </c>
      <c r="H210" s="4" t="str">
        <f>IF("M5"=RIGHT(Table1[[#This Row],[config]],2),LEFT(Table1[[#This Row],[config]],LEN(Table1[[#This Row],[config]])-2),Table1[[#This Row],[config]])</f>
        <v>STCF</v>
      </c>
    </row>
    <row r="211" spans="1:8" x14ac:dyDescent="0.25">
      <c r="A211" s="1" t="s">
        <v>4</v>
      </c>
      <c r="B211">
        <v>15</v>
      </c>
      <c r="C211" s="1" t="s">
        <v>10</v>
      </c>
      <c r="D211" s="1" t="s">
        <v>70</v>
      </c>
      <c r="E211" t="str">
        <f>LEFT(Table1[[#This Row],[target]],FIND("|",Table1[[#This Row],[target]])-1)</f>
        <v>STCFM5</v>
      </c>
      <c r="F211" t="str">
        <f>RIGHT(Table1[[#This Row],[target]],LEN(Table1[[#This Row],[target]])-FIND("|",Table1[[#This Row],[target]]))</f>
        <v>Win32</v>
      </c>
      <c r="G211" t="str">
        <f>IF("M5"=RIGHT(Table1[[#This Row],[config]],2),"GEQm5","LEQm4")</f>
        <v>GEQm5</v>
      </c>
      <c r="H211" s="4" t="str">
        <f>IF("M5"=RIGHT(Table1[[#This Row],[config]],2),LEFT(Table1[[#This Row],[config]],LEN(Table1[[#This Row],[config]])-2),Table1[[#This Row],[config]])</f>
        <v>STCF</v>
      </c>
    </row>
    <row r="212" spans="1:8" x14ac:dyDescent="0.25">
      <c r="A212" s="1" t="s">
        <v>4</v>
      </c>
      <c r="B212">
        <v>15</v>
      </c>
      <c r="C212" s="1" t="s">
        <v>10</v>
      </c>
      <c r="D212" s="1" t="s">
        <v>28</v>
      </c>
      <c r="E212" t="str">
        <f>LEFT(Table1[[#This Row],[target]],FIND("|",Table1[[#This Row],[target]])-1)</f>
        <v>STCFM5</v>
      </c>
      <c r="F212" t="str">
        <f>RIGHT(Table1[[#This Row],[target]],LEN(Table1[[#This Row],[target]])-FIND("|",Table1[[#This Row],[target]]))</f>
        <v>Win32</v>
      </c>
      <c r="G212" t="str">
        <f>IF("M5"=RIGHT(Table1[[#This Row],[config]],2),"GEQm5","LEQm4")</f>
        <v>GEQm5</v>
      </c>
      <c r="H212" s="4" t="str">
        <f>IF("M5"=RIGHT(Table1[[#This Row],[config]],2),LEFT(Table1[[#This Row],[config]],LEN(Table1[[#This Row],[config]])-2),Table1[[#This Row],[config]])</f>
        <v>STCF</v>
      </c>
    </row>
    <row r="213" spans="1:8" x14ac:dyDescent="0.25">
      <c r="A213" s="1" t="s">
        <v>4</v>
      </c>
      <c r="B213">
        <v>15</v>
      </c>
      <c r="C213" s="1" t="s">
        <v>10</v>
      </c>
      <c r="D213" s="1" t="s">
        <v>75</v>
      </c>
      <c r="E213" t="str">
        <f>LEFT(Table1[[#This Row],[target]],FIND("|",Table1[[#This Row],[target]])-1)</f>
        <v>STCFM5</v>
      </c>
      <c r="F213" t="str">
        <f>RIGHT(Table1[[#This Row],[target]],LEN(Table1[[#This Row],[target]])-FIND("|",Table1[[#This Row],[target]]))</f>
        <v>Win32</v>
      </c>
      <c r="G213" t="str">
        <f>IF("M5"=RIGHT(Table1[[#This Row],[config]],2),"GEQm5","LEQm4")</f>
        <v>GEQm5</v>
      </c>
      <c r="H213" s="4" t="str">
        <f>IF("M5"=RIGHT(Table1[[#This Row],[config]],2),LEFT(Table1[[#This Row],[config]],LEN(Table1[[#This Row],[config]])-2),Table1[[#This Row],[config]])</f>
        <v>STCF</v>
      </c>
    </row>
    <row r="214" spans="1:8" x14ac:dyDescent="0.25">
      <c r="A214" s="1" t="s">
        <v>4</v>
      </c>
      <c r="B214">
        <v>15</v>
      </c>
      <c r="C214" s="1" t="s">
        <v>10</v>
      </c>
      <c r="D214" s="1" t="s">
        <v>78</v>
      </c>
      <c r="E214" t="str">
        <f>LEFT(Table1[[#This Row],[target]],FIND("|",Table1[[#This Row],[target]])-1)</f>
        <v>STCFM5</v>
      </c>
      <c r="F214" t="str">
        <f>RIGHT(Table1[[#This Row],[target]],LEN(Table1[[#This Row],[target]])-FIND("|",Table1[[#This Row],[target]]))</f>
        <v>Win32</v>
      </c>
      <c r="G214" t="str">
        <f>IF("M5"=RIGHT(Table1[[#This Row],[config]],2),"GEQm5","LEQm4")</f>
        <v>GEQm5</v>
      </c>
      <c r="H214" s="4" t="str">
        <f>IF("M5"=RIGHT(Table1[[#This Row],[config]],2),LEFT(Table1[[#This Row],[config]],LEN(Table1[[#This Row],[config]])-2),Table1[[#This Row],[config]])</f>
        <v>STCF</v>
      </c>
    </row>
    <row r="215" spans="1:8" x14ac:dyDescent="0.25">
      <c r="A215" s="1" t="s">
        <v>4</v>
      </c>
      <c r="B215">
        <v>15</v>
      </c>
      <c r="C215" s="1" t="s">
        <v>10</v>
      </c>
      <c r="D215" s="1" t="s">
        <v>79</v>
      </c>
      <c r="E215" t="str">
        <f>LEFT(Table1[[#This Row],[target]],FIND("|",Table1[[#This Row],[target]])-1)</f>
        <v>STCFM5</v>
      </c>
      <c r="F215" t="str">
        <f>RIGHT(Table1[[#This Row],[target]],LEN(Table1[[#This Row],[target]])-FIND("|",Table1[[#This Row],[target]]))</f>
        <v>Win32</v>
      </c>
      <c r="G215" t="str">
        <f>IF("M5"=RIGHT(Table1[[#This Row],[config]],2),"GEQm5","LEQm4")</f>
        <v>GEQm5</v>
      </c>
      <c r="H215" s="4" t="str">
        <f>IF("M5"=RIGHT(Table1[[#This Row],[config]],2),LEFT(Table1[[#This Row],[config]],LEN(Table1[[#This Row],[config]])-2),Table1[[#This Row],[config]])</f>
        <v>STCF</v>
      </c>
    </row>
    <row r="216" spans="1:8" x14ac:dyDescent="0.25">
      <c r="A216" s="1" t="s">
        <v>4</v>
      </c>
      <c r="B216">
        <v>15</v>
      </c>
      <c r="C216" s="1" t="s">
        <v>16</v>
      </c>
      <c r="D216" s="1" t="s">
        <v>82</v>
      </c>
      <c r="E216" t="str">
        <f>LEFT(Table1[[#This Row],[target]],FIND("|",Table1[[#This Row],[target]])-1)</f>
        <v>STCFM5</v>
      </c>
      <c r="F216" t="str">
        <f>RIGHT(Table1[[#This Row],[target]],LEN(Table1[[#This Row],[target]])-FIND("|",Table1[[#This Row],[target]]))</f>
        <v>x64</v>
      </c>
      <c r="G216" t="str">
        <f>IF("M5"=RIGHT(Table1[[#This Row],[config]],2),"GEQm5","LEQm4")</f>
        <v>GEQm5</v>
      </c>
      <c r="H216" s="4" t="str">
        <f>IF("M5"=RIGHT(Table1[[#This Row],[config]],2),LEFT(Table1[[#This Row],[config]],LEN(Table1[[#This Row],[config]])-2),Table1[[#This Row],[config]])</f>
        <v>STCF</v>
      </c>
    </row>
    <row r="217" spans="1:8" x14ac:dyDescent="0.25">
      <c r="A217" s="1" t="s">
        <v>4</v>
      </c>
      <c r="B217">
        <v>15</v>
      </c>
      <c r="C217" s="1" t="s">
        <v>16</v>
      </c>
      <c r="D217" s="1" t="s">
        <v>72</v>
      </c>
      <c r="E217" t="str">
        <f>LEFT(Table1[[#This Row],[target]],FIND("|",Table1[[#This Row],[target]])-1)</f>
        <v>STCFM5</v>
      </c>
      <c r="F217" t="str">
        <f>RIGHT(Table1[[#This Row],[target]],LEN(Table1[[#This Row],[target]])-FIND("|",Table1[[#This Row],[target]]))</f>
        <v>x64</v>
      </c>
      <c r="G217" t="str">
        <f>IF("M5"=RIGHT(Table1[[#This Row],[config]],2),"GEQm5","LEQm4")</f>
        <v>GEQm5</v>
      </c>
      <c r="H217" s="4" t="str">
        <f>IF("M5"=RIGHT(Table1[[#This Row],[config]],2),LEFT(Table1[[#This Row],[config]],LEN(Table1[[#This Row],[config]])-2),Table1[[#This Row],[config]])</f>
        <v>STCF</v>
      </c>
    </row>
    <row r="218" spans="1:8" x14ac:dyDescent="0.25">
      <c r="A218" s="1" t="s">
        <v>4</v>
      </c>
      <c r="B218">
        <v>15</v>
      </c>
      <c r="C218" s="1" t="s">
        <v>16</v>
      </c>
      <c r="D218" s="1" t="s">
        <v>29</v>
      </c>
      <c r="E218" t="str">
        <f>LEFT(Table1[[#This Row],[target]],FIND("|",Table1[[#This Row],[target]])-1)</f>
        <v>STCFM5</v>
      </c>
      <c r="F218" t="str">
        <f>RIGHT(Table1[[#This Row],[target]],LEN(Table1[[#This Row],[target]])-FIND("|",Table1[[#This Row],[target]]))</f>
        <v>x64</v>
      </c>
      <c r="G218" t="str">
        <f>IF("M5"=RIGHT(Table1[[#This Row],[config]],2),"GEQm5","LEQm4")</f>
        <v>GEQm5</v>
      </c>
      <c r="H218" s="4" t="str">
        <f>IF("M5"=RIGHT(Table1[[#This Row],[config]],2),LEFT(Table1[[#This Row],[config]],LEN(Table1[[#This Row],[config]])-2),Table1[[#This Row],[config]])</f>
        <v>STCF</v>
      </c>
    </row>
    <row r="219" spans="1:8" x14ac:dyDescent="0.25">
      <c r="A219" s="1" t="s">
        <v>4</v>
      </c>
      <c r="B219">
        <v>15</v>
      </c>
      <c r="C219" s="1" t="s">
        <v>16</v>
      </c>
      <c r="D219" s="1" t="s">
        <v>77</v>
      </c>
      <c r="E219" t="str">
        <f>LEFT(Table1[[#This Row],[target]],FIND("|",Table1[[#This Row],[target]])-1)</f>
        <v>STCFM5</v>
      </c>
      <c r="F219" t="str">
        <f>RIGHT(Table1[[#This Row],[target]],LEN(Table1[[#This Row],[target]])-FIND("|",Table1[[#This Row],[target]]))</f>
        <v>x64</v>
      </c>
      <c r="G219" t="str">
        <f>IF("M5"=RIGHT(Table1[[#This Row],[config]],2),"GEQm5","LEQm4")</f>
        <v>GEQm5</v>
      </c>
      <c r="H219" s="4" t="str">
        <f>IF("M5"=RIGHT(Table1[[#This Row],[config]],2),LEFT(Table1[[#This Row],[config]],LEN(Table1[[#This Row],[config]])-2),Table1[[#This Row],[config]])</f>
        <v>STCF</v>
      </c>
    </row>
    <row r="220" spans="1:8" x14ac:dyDescent="0.25">
      <c r="A220" s="1" t="s">
        <v>4</v>
      </c>
      <c r="B220">
        <v>15</v>
      </c>
      <c r="C220" s="1" t="s">
        <v>16</v>
      </c>
      <c r="D220" s="1" t="s">
        <v>81</v>
      </c>
      <c r="E220" t="str">
        <f>LEFT(Table1[[#This Row],[target]],FIND("|",Table1[[#This Row],[target]])-1)</f>
        <v>STCFM5</v>
      </c>
      <c r="F220" t="str">
        <f>RIGHT(Table1[[#This Row],[target]],LEN(Table1[[#This Row],[target]])-FIND("|",Table1[[#This Row],[target]]))</f>
        <v>x64</v>
      </c>
      <c r="G220" t="str">
        <f>IF("M5"=RIGHT(Table1[[#This Row],[config]],2),"GEQm5","LEQm4")</f>
        <v>GEQm5</v>
      </c>
      <c r="H220" s="4" t="str">
        <f>IF("M5"=RIGHT(Table1[[#This Row],[config]],2),LEFT(Table1[[#This Row],[config]],LEN(Table1[[#This Row],[config]])-2),Table1[[#This Row],[config]])</f>
        <v>STCF</v>
      </c>
    </row>
    <row r="221" spans="1:8" x14ac:dyDescent="0.25">
      <c r="A221" s="1" t="s">
        <v>4</v>
      </c>
      <c r="B221">
        <v>15</v>
      </c>
      <c r="C221" s="1" t="s">
        <v>16</v>
      </c>
      <c r="D221" s="1" t="s">
        <v>26</v>
      </c>
      <c r="E221" t="str">
        <f>LEFT(Table1[[#This Row],[target]],FIND("|",Table1[[#This Row],[target]])-1)</f>
        <v>STCFM5</v>
      </c>
      <c r="F221" t="str">
        <f>RIGHT(Table1[[#This Row],[target]],LEN(Table1[[#This Row],[target]])-FIND("|",Table1[[#This Row],[target]]))</f>
        <v>x64</v>
      </c>
      <c r="G221" t="str">
        <f>IF("M5"=RIGHT(Table1[[#This Row],[config]],2),"GEQm5","LEQm4")</f>
        <v>GEQm5</v>
      </c>
      <c r="H221" s="4" t="str">
        <f>IF("M5"=RIGHT(Table1[[#This Row],[config]],2),LEFT(Table1[[#This Row],[config]],LEN(Table1[[#This Row],[config]])-2),Table1[[#This Row],[config]])</f>
        <v>STCF</v>
      </c>
    </row>
    <row r="222" spans="1:8" x14ac:dyDescent="0.25">
      <c r="A222" s="1" t="s">
        <v>4</v>
      </c>
      <c r="B222">
        <v>15</v>
      </c>
      <c r="C222" s="1" t="s">
        <v>16</v>
      </c>
      <c r="D222" s="1" t="s">
        <v>73</v>
      </c>
      <c r="E222" t="str">
        <f>LEFT(Table1[[#This Row],[target]],FIND("|",Table1[[#This Row],[target]])-1)</f>
        <v>STCFM5</v>
      </c>
      <c r="F222" t="str">
        <f>RIGHT(Table1[[#This Row],[target]],LEN(Table1[[#This Row],[target]])-FIND("|",Table1[[#This Row],[target]]))</f>
        <v>x64</v>
      </c>
      <c r="G222" t="str">
        <f>IF("M5"=RIGHT(Table1[[#This Row],[config]],2),"GEQm5","LEQm4")</f>
        <v>GEQm5</v>
      </c>
      <c r="H222" s="4" t="str">
        <f>IF("M5"=RIGHT(Table1[[#This Row],[config]],2),LEFT(Table1[[#This Row],[config]],LEN(Table1[[#This Row],[config]])-2),Table1[[#This Row],[config]])</f>
        <v>STCF</v>
      </c>
    </row>
    <row r="223" spans="1:8" x14ac:dyDescent="0.25">
      <c r="A223" s="1" t="s">
        <v>4</v>
      </c>
      <c r="B223">
        <v>15</v>
      </c>
      <c r="C223" s="1" t="s">
        <v>16</v>
      </c>
      <c r="D223" s="1" t="s">
        <v>70</v>
      </c>
      <c r="E223" t="str">
        <f>LEFT(Table1[[#This Row],[target]],FIND("|",Table1[[#This Row],[target]])-1)</f>
        <v>STCFM5</v>
      </c>
      <c r="F223" t="str">
        <f>RIGHT(Table1[[#This Row],[target]],LEN(Table1[[#This Row],[target]])-FIND("|",Table1[[#This Row],[target]]))</f>
        <v>x64</v>
      </c>
      <c r="G223" t="str">
        <f>IF("M5"=RIGHT(Table1[[#This Row],[config]],2),"GEQm5","LEQm4")</f>
        <v>GEQm5</v>
      </c>
      <c r="H223" s="4" t="str">
        <f>IF("M5"=RIGHT(Table1[[#This Row],[config]],2),LEFT(Table1[[#This Row],[config]],LEN(Table1[[#This Row],[config]])-2),Table1[[#This Row],[config]])</f>
        <v>STCF</v>
      </c>
    </row>
    <row r="224" spans="1:8" x14ac:dyDescent="0.25">
      <c r="A224" s="1" t="s">
        <v>4</v>
      </c>
      <c r="B224">
        <v>15</v>
      </c>
      <c r="C224" s="1" t="s">
        <v>16</v>
      </c>
      <c r="D224" s="1" t="s">
        <v>28</v>
      </c>
      <c r="E224" t="str">
        <f>LEFT(Table1[[#This Row],[target]],FIND("|",Table1[[#This Row],[target]])-1)</f>
        <v>STCFM5</v>
      </c>
      <c r="F224" t="str">
        <f>RIGHT(Table1[[#This Row],[target]],LEN(Table1[[#This Row],[target]])-FIND("|",Table1[[#This Row],[target]]))</f>
        <v>x64</v>
      </c>
      <c r="G224" t="str">
        <f>IF("M5"=RIGHT(Table1[[#This Row],[config]],2),"GEQm5","LEQm4")</f>
        <v>GEQm5</v>
      </c>
      <c r="H224" s="4" t="str">
        <f>IF("M5"=RIGHT(Table1[[#This Row],[config]],2),LEFT(Table1[[#This Row],[config]],LEN(Table1[[#This Row],[config]])-2),Table1[[#This Row],[config]])</f>
        <v>STCF</v>
      </c>
    </row>
    <row r="225" spans="1:8" x14ac:dyDescent="0.25">
      <c r="A225" s="1" t="s">
        <v>4</v>
      </c>
      <c r="B225">
        <v>15</v>
      </c>
      <c r="C225" s="1" t="s">
        <v>16</v>
      </c>
      <c r="D225" s="1" t="s">
        <v>75</v>
      </c>
      <c r="E225" t="str">
        <f>LEFT(Table1[[#This Row],[target]],FIND("|",Table1[[#This Row],[target]])-1)</f>
        <v>STCFM5</v>
      </c>
      <c r="F225" t="str">
        <f>RIGHT(Table1[[#This Row],[target]],LEN(Table1[[#This Row],[target]])-FIND("|",Table1[[#This Row],[target]]))</f>
        <v>x64</v>
      </c>
      <c r="G225" t="str">
        <f>IF("M5"=RIGHT(Table1[[#This Row],[config]],2),"GEQm5","LEQm4")</f>
        <v>GEQm5</v>
      </c>
      <c r="H225" s="4" t="str">
        <f>IF("M5"=RIGHT(Table1[[#This Row],[config]],2),LEFT(Table1[[#This Row],[config]],LEN(Table1[[#This Row],[config]])-2),Table1[[#This Row],[config]])</f>
        <v>STCF</v>
      </c>
    </row>
    <row r="226" spans="1:8" x14ac:dyDescent="0.25">
      <c r="A226" s="1" t="s">
        <v>4</v>
      </c>
      <c r="B226">
        <v>15</v>
      </c>
      <c r="C226" s="1" t="s">
        <v>16</v>
      </c>
      <c r="D226" s="1" t="s">
        <v>78</v>
      </c>
      <c r="E226" t="str">
        <f>LEFT(Table1[[#This Row],[target]],FIND("|",Table1[[#This Row],[target]])-1)</f>
        <v>STCFM5</v>
      </c>
      <c r="F226" t="str">
        <f>RIGHT(Table1[[#This Row],[target]],LEN(Table1[[#This Row],[target]])-FIND("|",Table1[[#This Row],[target]]))</f>
        <v>x64</v>
      </c>
      <c r="G226" t="str">
        <f>IF("M5"=RIGHT(Table1[[#This Row],[config]],2),"GEQm5","LEQm4")</f>
        <v>GEQm5</v>
      </c>
      <c r="H226" s="4" t="str">
        <f>IF("M5"=RIGHT(Table1[[#This Row],[config]],2),LEFT(Table1[[#This Row],[config]],LEN(Table1[[#This Row],[config]])-2),Table1[[#This Row],[config]])</f>
        <v>STCF</v>
      </c>
    </row>
    <row r="227" spans="1:8" x14ac:dyDescent="0.25">
      <c r="A227" s="1" t="s">
        <v>4</v>
      </c>
      <c r="B227">
        <v>15</v>
      </c>
      <c r="C227" s="1" t="s">
        <v>16</v>
      </c>
      <c r="D227" s="1" t="s">
        <v>79</v>
      </c>
      <c r="E227" t="str">
        <f>LEFT(Table1[[#This Row],[target]],FIND("|",Table1[[#This Row],[target]])-1)</f>
        <v>STCFM5</v>
      </c>
      <c r="F227" t="str">
        <f>RIGHT(Table1[[#This Row],[target]],LEN(Table1[[#This Row],[target]])-FIND("|",Table1[[#This Row],[target]]))</f>
        <v>x64</v>
      </c>
      <c r="G227" t="str">
        <f>IF("M5"=RIGHT(Table1[[#This Row],[config]],2),"GEQm5","LEQm4")</f>
        <v>GEQm5</v>
      </c>
      <c r="H227" s="4" t="str">
        <f>IF("M5"=RIGHT(Table1[[#This Row],[config]],2),LEFT(Table1[[#This Row],[config]],LEN(Table1[[#This Row],[config]])-2),Table1[[#This Row],[config]])</f>
        <v>STCF</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Matrix of associations</vt:lpstr>
      <vt:lpstr>Summary of Property Sheets</vt:lpstr>
      <vt:lpstr>ReferenceData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Arsenault, Stephen - ITSLM/GCSTI</dc:creator>
  <cp:lastModifiedBy>Arsenault, Stephen - ITSLM/GCSTI</cp:lastModifiedBy>
  <dcterms:created xsi:type="dcterms:W3CDTF">2021-10-08T15:37:26Z</dcterms:created>
  <dcterms:modified xsi:type="dcterms:W3CDTF">2022-07-06T19:53:22Z</dcterms:modified>
</cp:coreProperties>
</file>